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9833a33b0da5f/RPGs/Star Wars/Campaigns/New Campaign J^0A/Kingdom of Manticore/"/>
    </mc:Choice>
  </mc:AlternateContent>
  <xr:revisionPtr revIDLastSave="0" documentId="8_{EE05480C-50BF-4099-8064-1974EDB09DB5}" xr6:coauthVersionLast="47" xr6:coauthVersionMax="47" xr10:uidLastSave="{00000000-0000-0000-0000-000000000000}"/>
  <bookViews>
    <workbookView xWindow="135" yWindow="150" windowWidth="15030" windowHeight="14970" firstSheet="3" activeTab="3" xr2:uid="{00000000-000D-0000-FFFF-FFFF00000000}"/>
  </bookViews>
  <sheets>
    <sheet name="Planets" sheetId="1" r:id="rId1"/>
    <sheet name="Demographics" sheetId="12" r:id="rId2"/>
    <sheet name="Resources" sheetId="2" r:id="rId3"/>
    <sheet name="Balance Sheet" sheetId="3" r:id="rId4"/>
    <sheet name="Completed Research" sheetId="4" r:id="rId5"/>
    <sheet name="Completed Construction" sheetId="5" r:id="rId6"/>
    <sheet name="Production Capacity" sheetId="7" r:id="rId7"/>
    <sheet name="Production" sheetId="6" r:id="rId8"/>
    <sheet name="Production Items" sheetId="8" r:id="rId9"/>
    <sheet name="Stores" sheetId="10" r:id="rId10"/>
    <sheet name="Assets" sheetId="9" r:id="rId11"/>
    <sheet name="Personnel" sheetId="11" r:id="rId1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I76" i="3"/>
  <c r="J76" i="3"/>
  <c r="H77" i="3"/>
  <c r="I77" i="3"/>
  <c r="J77" i="3"/>
  <c r="H78" i="3"/>
  <c r="I78" i="3"/>
  <c r="J78" i="3"/>
  <c r="H79" i="3"/>
  <c r="I79" i="3"/>
  <c r="J79" i="3"/>
  <c r="H80" i="3"/>
  <c r="I80" i="3"/>
  <c r="J80" i="3"/>
  <c r="H81" i="3"/>
  <c r="I81" i="3"/>
  <c r="J81" i="3"/>
  <c r="H82" i="3"/>
  <c r="I82" i="3"/>
  <c r="J82" i="3"/>
  <c r="H83" i="3"/>
  <c r="I83" i="3"/>
  <c r="J83" i="3"/>
  <c r="H84" i="3"/>
  <c r="I84" i="3"/>
  <c r="J84" i="3"/>
  <c r="H85" i="3"/>
  <c r="I85" i="3"/>
  <c r="J85" i="3"/>
  <c r="H86" i="3"/>
  <c r="I86" i="3"/>
  <c r="J86" i="3"/>
  <c r="H87" i="3"/>
  <c r="I87" i="3"/>
  <c r="J87" i="3"/>
  <c r="H88" i="3"/>
  <c r="I88" i="3"/>
  <c r="J88" i="3"/>
  <c r="H89" i="3"/>
  <c r="I89" i="3"/>
  <c r="J89" i="3"/>
  <c r="H90" i="3"/>
  <c r="I90" i="3"/>
  <c r="J90" i="3"/>
  <c r="H91" i="3"/>
  <c r="I91" i="3"/>
  <c r="J91" i="3"/>
  <c r="H92" i="3"/>
  <c r="I92" i="3"/>
  <c r="J92" i="3"/>
  <c r="H93" i="3"/>
  <c r="I93" i="3"/>
  <c r="J93" i="3"/>
  <c r="H94" i="3"/>
  <c r="I94" i="3"/>
  <c r="J94" i="3"/>
  <c r="H95" i="3"/>
  <c r="I95" i="3"/>
  <c r="J95" i="3"/>
  <c r="H96" i="3"/>
  <c r="I96" i="3"/>
  <c r="J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H122" i="3"/>
  <c r="I122" i="3"/>
  <c r="J122" i="3"/>
  <c r="H123" i="3"/>
  <c r="I123" i="3"/>
  <c r="J123" i="3"/>
  <c r="H124" i="3"/>
  <c r="I124" i="3"/>
  <c r="J124" i="3"/>
  <c r="H125" i="3"/>
  <c r="I125" i="3"/>
  <c r="J125" i="3"/>
  <c r="H126" i="3"/>
  <c r="I126" i="3"/>
  <c r="J126" i="3"/>
  <c r="H127" i="3"/>
  <c r="I127" i="3"/>
  <c r="J127" i="3"/>
  <c r="H128" i="3"/>
  <c r="I128" i="3"/>
  <c r="J128" i="3"/>
  <c r="H129" i="3"/>
  <c r="I129" i="3"/>
  <c r="J129" i="3"/>
  <c r="H130" i="3"/>
  <c r="I130" i="3"/>
  <c r="J130" i="3"/>
  <c r="H131" i="3"/>
  <c r="I131" i="3"/>
  <c r="J131" i="3"/>
  <c r="H132" i="3"/>
  <c r="I132" i="3"/>
  <c r="J132" i="3"/>
  <c r="H133" i="3"/>
  <c r="I133" i="3"/>
  <c r="J133" i="3"/>
  <c r="H134" i="3"/>
  <c r="I134" i="3"/>
  <c r="J134" i="3"/>
  <c r="H135" i="3"/>
  <c r="I135" i="3"/>
  <c r="J135" i="3"/>
  <c r="H136" i="3"/>
  <c r="I136" i="3"/>
  <c r="J136" i="3"/>
  <c r="H137" i="3"/>
  <c r="I137" i="3"/>
  <c r="J137" i="3"/>
  <c r="H138" i="3"/>
  <c r="I138" i="3"/>
  <c r="J138" i="3"/>
  <c r="H139" i="3"/>
  <c r="I139" i="3"/>
  <c r="J139" i="3"/>
  <c r="H140" i="3"/>
  <c r="I140" i="3"/>
  <c r="J140" i="3"/>
  <c r="H141" i="3"/>
  <c r="I141" i="3"/>
  <c r="J141" i="3"/>
  <c r="H142" i="3"/>
  <c r="I142" i="3"/>
  <c r="J142" i="3"/>
  <c r="H143" i="3"/>
  <c r="I143" i="3"/>
  <c r="J143" i="3"/>
  <c r="H144" i="3"/>
  <c r="I144" i="3"/>
  <c r="J144" i="3"/>
  <c r="H145" i="3"/>
  <c r="I145" i="3"/>
  <c r="J145" i="3"/>
  <c r="H146" i="3"/>
  <c r="I146" i="3"/>
  <c r="J146" i="3"/>
  <c r="H147" i="3"/>
  <c r="I147" i="3"/>
  <c r="J147" i="3"/>
  <c r="H148" i="3"/>
  <c r="I148" i="3"/>
  <c r="J148" i="3"/>
  <c r="H149" i="3"/>
  <c r="I149" i="3"/>
  <c r="J149" i="3"/>
  <c r="H150" i="3"/>
  <c r="I150" i="3"/>
  <c r="J150" i="3"/>
  <c r="H151" i="3"/>
  <c r="I151" i="3"/>
  <c r="J151" i="3"/>
  <c r="H152" i="3"/>
  <c r="I152" i="3"/>
  <c r="J152" i="3"/>
  <c r="H153" i="3"/>
  <c r="I153" i="3"/>
  <c r="J153" i="3"/>
  <c r="H154" i="3"/>
  <c r="I154" i="3"/>
  <c r="J154" i="3"/>
  <c r="H155" i="3"/>
  <c r="I155" i="3"/>
  <c r="J155" i="3"/>
  <c r="H156" i="3"/>
  <c r="I156" i="3"/>
  <c r="J156" i="3"/>
  <c r="H157" i="3"/>
  <c r="I157" i="3"/>
  <c r="J157" i="3"/>
  <c r="H158" i="3"/>
  <c r="I158" i="3"/>
  <c r="J158" i="3"/>
  <c r="H159" i="3"/>
  <c r="I159" i="3"/>
  <c r="J159" i="3"/>
  <c r="H160" i="3"/>
  <c r="I160" i="3"/>
  <c r="J160" i="3"/>
  <c r="H161" i="3"/>
  <c r="I161" i="3"/>
  <c r="J161" i="3"/>
  <c r="H162" i="3"/>
  <c r="I162" i="3"/>
  <c r="J162" i="3"/>
  <c r="H163" i="3"/>
  <c r="I163" i="3"/>
  <c r="J163" i="3"/>
  <c r="H164" i="3"/>
  <c r="I164" i="3"/>
  <c r="J164" i="3"/>
  <c r="H165" i="3"/>
  <c r="I165" i="3"/>
  <c r="J165" i="3"/>
  <c r="H166" i="3"/>
  <c r="I166" i="3"/>
  <c r="J166" i="3"/>
  <c r="H167" i="3"/>
  <c r="I167" i="3"/>
  <c r="J167" i="3"/>
  <c r="H168" i="3"/>
  <c r="I168" i="3"/>
  <c r="J168" i="3"/>
  <c r="H169" i="3"/>
  <c r="I169" i="3"/>
  <c r="J169" i="3"/>
  <c r="H170" i="3"/>
  <c r="I170" i="3"/>
  <c r="J170" i="3"/>
  <c r="H171" i="3"/>
  <c r="I171" i="3"/>
  <c r="J171" i="3"/>
  <c r="H172" i="3"/>
  <c r="I172" i="3"/>
  <c r="J172" i="3"/>
  <c r="H173" i="3"/>
  <c r="I173" i="3"/>
  <c r="J173" i="3"/>
  <c r="H174" i="3"/>
  <c r="I174" i="3"/>
  <c r="J174" i="3"/>
  <c r="H175" i="3"/>
  <c r="I175" i="3"/>
  <c r="J175" i="3"/>
  <c r="H176" i="3"/>
  <c r="I176" i="3"/>
  <c r="J176" i="3"/>
  <c r="H177" i="3"/>
  <c r="I177" i="3"/>
  <c r="J177" i="3"/>
  <c r="H178" i="3"/>
  <c r="I178" i="3"/>
  <c r="J178" i="3"/>
  <c r="H179" i="3"/>
  <c r="I179" i="3"/>
  <c r="J179" i="3"/>
  <c r="H180" i="3"/>
  <c r="I180" i="3"/>
  <c r="J180" i="3"/>
  <c r="H181" i="3"/>
  <c r="I181" i="3"/>
  <c r="J181" i="3"/>
  <c r="H182" i="3"/>
  <c r="I182" i="3"/>
  <c r="J182" i="3"/>
  <c r="H183" i="3"/>
  <c r="I183" i="3"/>
  <c r="J183" i="3"/>
  <c r="H184" i="3"/>
  <c r="I184" i="3"/>
  <c r="J184" i="3"/>
  <c r="H185" i="3"/>
  <c r="I185" i="3"/>
  <c r="J185" i="3"/>
  <c r="H186" i="3"/>
  <c r="I186" i="3"/>
  <c r="J186" i="3"/>
  <c r="H187" i="3"/>
  <c r="I187" i="3"/>
  <c r="J187" i="3"/>
  <c r="H188" i="3"/>
  <c r="I188" i="3"/>
  <c r="J188" i="3"/>
  <c r="H189" i="3"/>
  <c r="I189" i="3"/>
  <c r="J189" i="3"/>
  <c r="H190" i="3"/>
  <c r="I190" i="3"/>
  <c r="J190" i="3"/>
  <c r="H191" i="3"/>
  <c r="I191" i="3"/>
  <c r="J191" i="3"/>
  <c r="H192" i="3"/>
  <c r="I192" i="3"/>
  <c r="J192" i="3"/>
  <c r="H193" i="3"/>
  <c r="I193" i="3"/>
  <c r="J193" i="3"/>
  <c r="H194" i="3"/>
  <c r="I194" i="3"/>
  <c r="J194" i="3"/>
  <c r="H195" i="3"/>
  <c r="I195" i="3"/>
  <c r="J195" i="3"/>
  <c r="H196" i="3"/>
  <c r="I196" i="3"/>
  <c r="J196" i="3"/>
  <c r="H197" i="3"/>
  <c r="I197" i="3"/>
  <c r="J197" i="3"/>
  <c r="H198" i="3"/>
  <c r="I198" i="3"/>
  <c r="J198" i="3"/>
  <c r="H199" i="3"/>
  <c r="I199" i="3"/>
  <c r="J199" i="3"/>
  <c r="H200" i="3"/>
  <c r="I200" i="3"/>
  <c r="J200" i="3"/>
  <c r="H201" i="3"/>
  <c r="I201" i="3"/>
  <c r="J201" i="3"/>
  <c r="H202" i="3"/>
  <c r="I202" i="3"/>
  <c r="J202" i="3"/>
  <c r="H203" i="3"/>
  <c r="I203" i="3"/>
  <c r="J203" i="3"/>
  <c r="H204" i="3"/>
  <c r="I204" i="3"/>
  <c r="J204" i="3"/>
  <c r="H205" i="3"/>
  <c r="I205" i="3"/>
  <c r="J205" i="3"/>
  <c r="H206" i="3"/>
  <c r="I206" i="3"/>
  <c r="J206" i="3"/>
  <c r="H207" i="3"/>
  <c r="I207" i="3"/>
  <c r="J207" i="3"/>
  <c r="H208" i="3"/>
  <c r="I208" i="3"/>
  <c r="J208" i="3"/>
  <c r="H209" i="3"/>
  <c r="I209" i="3"/>
  <c r="J209" i="3"/>
  <c r="H210" i="3"/>
  <c r="I210" i="3"/>
  <c r="J210" i="3"/>
  <c r="H211" i="3"/>
  <c r="I211" i="3"/>
  <c r="J211" i="3"/>
  <c r="H212" i="3"/>
  <c r="I212" i="3"/>
  <c r="J212" i="3"/>
  <c r="H213" i="3"/>
  <c r="I213" i="3"/>
  <c r="J213" i="3"/>
  <c r="H214" i="3"/>
  <c r="I214" i="3"/>
  <c r="J214" i="3"/>
  <c r="H215" i="3"/>
  <c r="I215" i="3"/>
  <c r="J215" i="3"/>
  <c r="H216" i="3"/>
  <c r="I216" i="3"/>
  <c r="J216" i="3"/>
  <c r="H217" i="3"/>
  <c r="I217" i="3"/>
  <c r="J217" i="3"/>
  <c r="H218" i="3"/>
  <c r="I218" i="3"/>
  <c r="J218" i="3"/>
  <c r="H219" i="3"/>
  <c r="I219" i="3"/>
  <c r="J219" i="3"/>
  <c r="H220" i="3"/>
  <c r="I220" i="3"/>
  <c r="J220" i="3"/>
  <c r="H4" i="3"/>
  <c r="I4" i="3"/>
  <c r="J4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5" i="3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4" i="3"/>
  <c r="D47" i="7"/>
  <c r="Q15" i="2"/>
  <c r="N13" i="2"/>
  <c r="Q12" i="2"/>
  <c r="Q14" i="2"/>
  <c r="Q22" i="2"/>
  <c r="P12" i="2"/>
  <c r="P13" i="2"/>
  <c r="Q13" i="2" s="1"/>
  <c r="P14" i="2"/>
  <c r="P22" i="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D3" i="12"/>
  <c r="E3" i="12"/>
  <c r="F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 s="1"/>
  <c r="AB1" i="12" s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3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B1" i="12"/>
  <c r="I4" i="2"/>
  <c r="J4" i="2"/>
  <c r="K4" i="2"/>
  <c r="D39" i="7"/>
  <c r="D32" i="7"/>
  <c r="D28" i="7"/>
  <c r="D22" i="7"/>
  <c r="D17" i="7"/>
  <c r="D12" i="7"/>
  <c r="D7" i="7"/>
  <c r="E33" i="11"/>
  <c r="D33" i="11"/>
  <c r="C33" i="11"/>
  <c r="B33" i="11"/>
  <c r="R32" i="11"/>
  <c r="Q32" i="11"/>
  <c r="P32" i="11"/>
  <c r="O32" i="11"/>
  <c r="F32" i="11"/>
  <c r="R31" i="11"/>
  <c r="Q31" i="11"/>
  <c r="P31" i="11"/>
  <c r="O31" i="11"/>
  <c r="F31" i="11"/>
  <c r="R30" i="11"/>
  <c r="Q30" i="11"/>
  <c r="P30" i="11"/>
  <c r="O30" i="11"/>
  <c r="F30" i="11"/>
  <c r="R29" i="11"/>
  <c r="Q29" i="11"/>
  <c r="P29" i="11"/>
  <c r="O29" i="11"/>
  <c r="F29" i="11"/>
  <c r="F33" i="11" s="1"/>
  <c r="E22" i="11"/>
  <c r="D22" i="11"/>
  <c r="C22" i="11"/>
  <c r="B22" i="11"/>
  <c r="R21" i="11"/>
  <c r="Q21" i="11"/>
  <c r="P21" i="11"/>
  <c r="O21" i="11"/>
  <c r="F21" i="11"/>
  <c r="R20" i="11"/>
  <c r="Q20" i="11"/>
  <c r="P20" i="11"/>
  <c r="O20" i="11"/>
  <c r="F20" i="11"/>
  <c r="R19" i="11"/>
  <c r="Q19" i="11"/>
  <c r="P19" i="11"/>
  <c r="O19" i="11"/>
  <c r="F19" i="11"/>
  <c r="R18" i="11"/>
  <c r="Q18" i="11"/>
  <c r="P18" i="11"/>
  <c r="O18" i="11"/>
  <c r="F18" i="11"/>
  <c r="F22" i="11" s="1"/>
  <c r="C9" i="11"/>
  <c r="D9" i="11"/>
  <c r="E9" i="11"/>
  <c r="B9" i="11"/>
  <c r="F6" i="11"/>
  <c r="F7" i="11"/>
  <c r="F8" i="11"/>
  <c r="F5" i="11"/>
  <c r="F9" i="11" s="1"/>
  <c r="R8" i="11"/>
  <c r="Q8" i="11"/>
  <c r="P8" i="11"/>
  <c r="O8" i="11"/>
  <c r="R7" i="11"/>
  <c r="Q7" i="11"/>
  <c r="P7" i="11"/>
  <c r="O7" i="11"/>
  <c r="R6" i="11"/>
  <c r="Q6" i="11"/>
  <c r="P6" i="11"/>
  <c r="O6" i="11"/>
  <c r="R5" i="11"/>
  <c r="Q5" i="11"/>
  <c r="P5" i="11"/>
  <c r="O5" i="11"/>
  <c r="C30" i="10"/>
  <c r="K21" i="2"/>
  <c r="J21" i="2"/>
  <c r="I21" i="2"/>
  <c r="H21" i="2"/>
  <c r="K14" i="2"/>
  <c r="J14" i="2"/>
  <c r="I14" i="2"/>
  <c r="H14" i="2"/>
  <c r="K41" i="2"/>
  <c r="J41" i="2"/>
  <c r="I41" i="2"/>
  <c r="H41" i="2"/>
  <c r="K38" i="2" l="1"/>
  <c r="J38" i="2"/>
  <c r="I38" i="2"/>
  <c r="H38" i="2"/>
  <c r="J20" i="2"/>
  <c r="K20" i="2"/>
  <c r="J22" i="2"/>
  <c r="K22" i="2"/>
  <c r="I20" i="2"/>
  <c r="I22" i="2"/>
  <c r="H20" i="2"/>
  <c r="H22" i="2"/>
  <c r="H23" i="2"/>
  <c r="H28" i="2" l="1"/>
  <c r="I28" i="2"/>
  <c r="J28" i="2"/>
  <c r="K28" i="2"/>
  <c r="H29" i="2"/>
  <c r="I29" i="2"/>
  <c r="J29" i="2"/>
  <c r="K29" i="2"/>
  <c r="H30" i="2"/>
  <c r="I30" i="2"/>
  <c r="J30" i="2"/>
  <c r="K30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9" i="2"/>
  <c r="I39" i="2"/>
  <c r="J39" i="2"/>
  <c r="K39" i="2"/>
  <c r="H40" i="2"/>
  <c r="I40" i="2"/>
  <c r="J40" i="2"/>
  <c r="K40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I5" i="2"/>
  <c r="J5" i="2"/>
  <c r="K5" i="2"/>
  <c r="H5" i="2"/>
  <c r="H1" i="2" l="1"/>
  <c r="K1" i="2"/>
  <c r="I1" i="2"/>
  <c r="J1" i="2"/>
  <c r="H73" i="2"/>
  <c r="I73" i="2"/>
  <c r="J73" i="2"/>
  <c r="K73" i="2"/>
  <c r="P10" i="2"/>
  <c r="N11" i="2" s="1"/>
  <c r="Q10" i="2" l="1"/>
  <c r="P11" i="2"/>
  <c r="Q11" i="2" s="1"/>
  <c r="P15" i="2" l="1"/>
  <c r="P17" i="2"/>
  <c r="Q17" i="2" s="1"/>
  <c r="N18" i="2"/>
  <c r="P18" i="2" l="1"/>
  <c r="N19" i="2" l="1"/>
  <c r="Q18" i="2"/>
  <c r="P19" i="2" l="1"/>
  <c r="N20" i="2" l="1"/>
  <c r="Q19" i="2"/>
  <c r="P20" i="2" l="1"/>
  <c r="N21" i="2" l="1"/>
  <c r="Q20" i="2"/>
  <c r="P21" i="2" l="1"/>
  <c r="N23" i="2" l="1"/>
  <c r="Q21" i="2"/>
  <c r="P23" i="2" l="1"/>
  <c r="N24" i="2" l="1"/>
  <c r="Q23" i="2"/>
  <c r="P24" i="2" l="1"/>
  <c r="N25" i="2" l="1"/>
  <c r="Q24" i="2"/>
  <c r="P25" i="2" l="1"/>
  <c r="N26" i="2" l="1"/>
  <c r="Q25" i="2"/>
  <c r="P26" i="2" l="1"/>
  <c r="N27" i="2" l="1"/>
  <c r="Q26" i="2"/>
  <c r="P27" i="2" l="1"/>
  <c r="N28" i="2" l="1"/>
  <c r="Q27" i="2"/>
  <c r="P28" i="2" l="1"/>
  <c r="N29" i="2" l="1"/>
  <c r="Q28" i="2"/>
  <c r="P29" i="2" l="1"/>
  <c r="N30" i="2" l="1"/>
  <c r="Q29" i="2"/>
  <c r="P30" i="2" l="1"/>
  <c r="N31" i="2" l="1"/>
  <c r="Q30" i="2"/>
  <c r="P31" i="2" l="1"/>
  <c r="N32" i="2" l="1"/>
  <c r="Q31" i="2"/>
  <c r="P32" i="2" l="1"/>
  <c r="N33" i="2" l="1"/>
  <c r="Q32" i="2"/>
  <c r="P33" i="2" l="1"/>
  <c r="N34" i="2" l="1"/>
  <c r="Q33" i="2"/>
  <c r="P34" i="2" l="1"/>
  <c r="N35" i="2" l="1"/>
  <c r="Q34" i="2"/>
  <c r="P35" i="2" l="1"/>
  <c r="N36" i="2" l="1"/>
  <c r="Q35" i="2"/>
  <c r="P36" i="2" l="1"/>
  <c r="N37" i="2" l="1"/>
  <c r="Q36" i="2"/>
  <c r="P37" i="2" l="1"/>
  <c r="N38" i="2" l="1"/>
  <c r="Q37" i="2"/>
  <c r="P38" i="2" l="1"/>
  <c r="N39" i="2" l="1"/>
  <c r="Q38" i="2"/>
  <c r="P39" i="2" l="1"/>
  <c r="N40" i="2" l="1"/>
  <c r="Q39" i="2"/>
  <c r="P40" i="2" l="1"/>
  <c r="N41" i="2" l="1"/>
  <c r="Q40" i="2"/>
  <c r="P41" i="2" l="1"/>
  <c r="N42" i="2" l="1"/>
  <c r="Q41" i="2"/>
  <c r="P42" i="2" l="1"/>
  <c r="N43" i="2" l="1"/>
  <c r="Q42" i="2"/>
  <c r="P43" i="2" l="1"/>
  <c r="N44" i="2" l="1"/>
  <c r="Q43" i="2"/>
  <c r="P44" i="2" l="1"/>
  <c r="N45" i="2" l="1"/>
  <c r="Q44" i="2"/>
  <c r="P45" i="2" l="1"/>
  <c r="N46" i="2" l="1"/>
  <c r="Q45" i="2"/>
  <c r="P46" i="2" l="1"/>
  <c r="N47" i="2" l="1"/>
  <c r="Q46" i="2"/>
  <c r="P47" i="2" l="1"/>
  <c r="N48" i="2" l="1"/>
  <c r="Q47" i="2"/>
  <c r="P48" i="2" l="1"/>
  <c r="N49" i="2" l="1"/>
  <c r="Q48" i="2"/>
  <c r="P49" i="2" l="1"/>
  <c r="N50" i="2" l="1"/>
  <c r="Q49" i="2"/>
  <c r="P50" i="2" l="1"/>
  <c r="N51" i="2" l="1"/>
  <c r="Q50" i="2"/>
  <c r="P51" i="2" l="1"/>
  <c r="N52" i="2" l="1"/>
  <c r="Q51" i="2"/>
  <c r="P52" i="2" l="1"/>
  <c r="N53" i="2" l="1"/>
  <c r="Q52" i="2"/>
  <c r="P53" i="2" l="1"/>
  <c r="N54" i="2" l="1"/>
  <c r="Q53" i="2"/>
  <c r="P54" i="2" l="1"/>
  <c r="N55" i="2" l="1"/>
  <c r="Q54" i="2"/>
  <c r="P55" i="2" l="1"/>
  <c r="N56" i="2" l="1"/>
  <c r="Q55" i="2"/>
  <c r="P56" i="2" l="1"/>
  <c r="N57" i="2" l="1"/>
  <c r="Q56" i="2"/>
  <c r="P57" i="2" l="1"/>
  <c r="N58" i="2" l="1"/>
  <c r="Q57" i="2"/>
  <c r="P58" i="2" l="1"/>
  <c r="N59" i="2" l="1"/>
  <c r="Q58" i="2"/>
  <c r="P59" i="2" l="1"/>
  <c r="N60" i="2" l="1"/>
  <c r="Q59" i="2"/>
  <c r="P60" i="2" l="1"/>
  <c r="Q60" i="2" s="1"/>
  <c r="P16" i="2" l="1"/>
  <c r="Q16" i="2" s="1"/>
  <c r="O3" i="2"/>
  <c r="O4" i="2"/>
  <c r="O5" i="2"/>
  <c r="O6" i="2"/>
  <c r="H11" i="3"/>
  <c r="D11" i="3"/>
  <c r="I11" i="3"/>
  <c r="E11" i="3"/>
  <c r="C1" i="3"/>
  <c r="C1" i="3" a="1"/>
  <c r="G11" i="3"/>
  <c r="C11" i="3"/>
  <c r="F11" i="3"/>
  <c r="J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<sst xmlns="http://schemas.openxmlformats.org/spreadsheetml/2006/main" count="803" uniqueCount="395">
  <si>
    <t>Star Name:</t>
  </si>
  <si>
    <t>Manticore A and Manticore B</t>
  </si>
  <si>
    <t>Bonuses from Research</t>
  </si>
  <si>
    <t>System Name</t>
  </si>
  <si>
    <t>Star Kingdom of Manticore</t>
  </si>
  <si>
    <t>Source</t>
  </si>
  <si>
    <t>Effects</t>
  </si>
  <si>
    <t>Planet Name:</t>
  </si>
  <si>
    <t xml:space="preserve">Manticore </t>
  </si>
  <si>
    <t>Sphinx</t>
  </si>
  <si>
    <t>Gryphon</t>
  </si>
  <si>
    <t>General</t>
  </si>
  <si>
    <t>Monarchy</t>
  </si>
  <si>
    <t>Increase Population Growth by 1% (Total 2%)</t>
  </si>
  <si>
    <t>Type:</t>
  </si>
  <si>
    <t>Increase Manpower Output by 10%</t>
  </si>
  <si>
    <t>Temperature</t>
  </si>
  <si>
    <t>Temperate</t>
  </si>
  <si>
    <t>Reduce Cost of Military Tech Tree Research by 10% and construction and upkeeps costs by 10%</t>
  </si>
  <si>
    <t>Atmosphere</t>
  </si>
  <si>
    <t>Breathable</t>
  </si>
  <si>
    <t>Cultural Bonus: Gain the ability to Contruct Boot Camps without having researched them</t>
  </si>
  <si>
    <t>Hydrosphere</t>
  </si>
  <si>
    <t>Moderate</t>
  </si>
  <si>
    <t>Ship  and Station Bonuses</t>
  </si>
  <si>
    <t>Gravity</t>
  </si>
  <si>
    <t>Standard</t>
  </si>
  <si>
    <t>Terrain</t>
  </si>
  <si>
    <t>Plateaus</t>
  </si>
  <si>
    <t>Length of Day</t>
  </si>
  <si>
    <t>24 Hours</t>
  </si>
  <si>
    <t>Length of Year</t>
  </si>
  <si>
    <t>390 Days</t>
  </si>
  <si>
    <t>Sapient Species</t>
  </si>
  <si>
    <t>Predominantly Humans, but any member race of the Old Republic may be represented</t>
  </si>
  <si>
    <t>Starport</t>
  </si>
  <si>
    <t>Imperial Class</t>
  </si>
  <si>
    <t>Population</t>
  </si>
  <si>
    <t>Government</t>
  </si>
  <si>
    <t>Tech Level</t>
  </si>
  <si>
    <t>Space</t>
  </si>
  <si>
    <t>Major Exports</t>
  </si>
  <si>
    <t>Major Imports</t>
  </si>
  <si>
    <t>Orbital Bodies</t>
  </si>
  <si>
    <t>Exotic Resources</t>
  </si>
  <si>
    <t>Beskar Mines.  The Planet contains a number of significant veins of Beskar.  Only 1 is currently accessible but surveys suggest that it is the smallest of the lodes.</t>
  </si>
  <si>
    <t>Space Station Bonuses</t>
  </si>
  <si>
    <t>Farm Bonuses</t>
  </si>
  <si>
    <t>Planetary Bonuses</t>
  </si>
  <si>
    <t>Building Bonuses</t>
  </si>
  <si>
    <t>Research Bonuses</t>
  </si>
  <si>
    <t>Total</t>
  </si>
  <si>
    <t xml:space="preserve">Race </t>
  </si>
  <si>
    <t>CT 1</t>
  </si>
  <si>
    <t>CT 2</t>
  </si>
  <si>
    <t>CT 3</t>
  </si>
  <si>
    <t>CT 4</t>
  </si>
  <si>
    <t>CT 5</t>
  </si>
  <si>
    <t>CT 6</t>
  </si>
  <si>
    <t>CT 7</t>
  </si>
  <si>
    <t>CT 8</t>
  </si>
  <si>
    <t>CT 9</t>
  </si>
  <si>
    <t>CT 10</t>
  </si>
  <si>
    <t>CT 11</t>
  </si>
  <si>
    <t>CT 12</t>
  </si>
  <si>
    <t>CT 13</t>
  </si>
  <si>
    <t>CT 14</t>
  </si>
  <si>
    <t>CT 15</t>
  </si>
  <si>
    <t>CT 16</t>
  </si>
  <si>
    <t>CT 17</t>
  </si>
  <si>
    <t>CT 18</t>
  </si>
  <si>
    <t>CT 19</t>
  </si>
  <si>
    <t>CT 20</t>
  </si>
  <si>
    <t>CT 21</t>
  </si>
  <si>
    <t>CT 22</t>
  </si>
  <si>
    <t>CT 23</t>
  </si>
  <si>
    <t>CT 24</t>
  </si>
  <si>
    <t>CT 25</t>
  </si>
  <si>
    <t>CT 26</t>
  </si>
  <si>
    <t>Mando'ade</t>
  </si>
  <si>
    <t>Humans (Minority)</t>
  </si>
  <si>
    <t>Gotals</t>
  </si>
  <si>
    <t>Twileks</t>
  </si>
  <si>
    <t>Ortolans</t>
  </si>
  <si>
    <t>Shistavenen</t>
  </si>
  <si>
    <t>Nikto</t>
  </si>
  <si>
    <t>Quarran</t>
  </si>
  <si>
    <t>Mon Calamari</t>
  </si>
  <si>
    <t>Carosite</t>
  </si>
  <si>
    <t>Wookiees</t>
  </si>
  <si>
    <t>Rodian</t>
  </si>
  <si>
    <t>Regat</t>
  </si>
  <si>
    <t>Vodran</t>
  </si>
  <si>
    <t>Adarian</t>
  </si>
  <si>
    <t>Arkanian (Near Human)</t>
  </si>
  <si>
    <t>Aliens (Minority)</t>
  </si>
  <si>
    <t>Devaronians</t>
  </si>
  <si>
    <t>Duros</t>
  </si>
  <si>
    <t>Elom</t>
  </si>
  <si>
    <t>Elomin</t>
  </si>
  <si>
    <t>Feeorin</t>
  </si>
  <si>
    <t>Firrerreo (Near Human)</t>
  </si>
  <si>
    <t>Gand</t>
  </si>
  <si>
    <t>Hortek</t>
  </si>
  <si>
    <t>Kel'Dor</t>
  </si>
  <si>
    <t>Kian'thar</t>
  </si>
  <si>
    <t>Omwati (Near-Human)</t>
  </si>
  <si>
    <t>Sakiyan</t>
  </si>
  <si>
    <t>Sluissi</t>
  </si>
  <si>
    <t>Togruta</t>
  </si>
  <si>
    <t>Schenor</t>
  </si>
  <si>
    <t>Jawa</t>
  </si>
  <si>
    <t>Total Monthly Income</t>
  </si>
  <si>
    <t>Current Turn</t>
  </si>
  <si>
    <t>Ct 7</t>
  </si>
  <si>
    <t>Resources by Month Per Facility:</t>
  </si>
  <si>
    <t>Resources Produced by Month:</t>
  </si>
  <si>
    <t>Current Totals:</t>
  </si>
  <si>
    <t>Number</t>
  </si>
  <si>
    <t>Credits</t>
  </si>
  <si>
    <t>Raw Materials</t>
  </si>
  <si>
    <t xml:space="preserve">Energy </t>
  </si>
  <si>
    <t>Man Power</t>
  </si>
  <si>
    <t>Credits:</t>
  </si>
  <si>
    <t>Planets</t>
  </si>
  <si>
    <t>Planet of Manticore</t>
  </si>
  <si>
    <t>Raw Materials:</t>
  </si>
  <si>
    <t>Research Facilities</t>
  </si>
  <si>
    <t>Small Research Lab</t>
  </si>
  <si>
    <t>Energy:</t>
  </si>
  <si>
    <t>Man Power:</t>
  </si>
  <si>
    <t>Power Facilities</t>
  </si>
  <si>
    <t>Solid Fuel Generators</t>
  </si>
  <si>
    <t xml:space="preserve">Population </t>
  </si>
  <si>
    <t>Growth</t>
  </si>
  <si>
    <t>New Population</t>
  </si>
  <si>
    <t xml:space="preserve">New Credit Income </t>
  </si>
  <si>
    <t>Farming Facilities</t>
  </si>
  <si>
    <t>Farms</t>
  </si>
  <si>
    <t>Additional Farming Equipment</t>
  </si>
  <si>
    <t>Increase</t>
  </si>
  <si>
    <t>Mining Facilities</t>
  </si>
  <si>
    <t>Asteroid Mining Barges</t>
  </si>
  <si>
    <t>Training Facilities</t>
  </si>
  <si>
    <t>Boot Camp</t>
  </si>
  <si>
    <t>Droids</t>
  </si>
  <si>
    <t>Droid Workshop</t>
  </si>
  <si>
    <t>Computers</t>
  </si>
  <si>
    <t>Repulsorlifts</t>
  </si>
  <si>
    <t>Repulsorlift Machine Shop</t>
  </si>
  <si>
    <t>Small Repulsorlift Factory</t>
  </si>
  <si>
    <t>Fabrication</t>
  </si>
  <si>
    <t>Weapons</t>
  </si>
  <si>
    <t>Starfighters</t>
  </si>
  <si>
    <t>Capital Ships</t>
  </si>
  <si>
    <t>Space Stations</t>
  </si>
  <si>
    <t>Defences</t>
  </si>
  <si>
    <t>CT 27</t>
  </si>
  <si>
    <t>CT 28</t>
  </si>
  <si>
    <t>CT 29</t>
  </si>
  <si>
    <t>Other Facilities</t>
  </si>
  <si>
    <t>Convenience Store</t>
  </si>
  <si>
    <t>CT 30</t>
  </si>
  <si>
    <t>Clothes Factory</t>
  </si>
  <si>
    <t>CT 31</t>
  </si>
  <si>
    <t>CT 32</t>
  </si>
  <si>
    <t>CT 33</t>
  </si>
  <si>
    <t>CT 34</t>
  </si>
  <si>
    <t>CT 35</t>
  </si>
  <si>
    <t>CT 36</t>
  </si>
  <si>
    <t>CT 37</t>
  </si>
  <si>
    <t>CT 38</t>
  </si>
  <si>
    <t>CT 39</t>
  </si>
  <si>
    <t>CT 40</t>
  </si>
  <si>
    <t>CT 41</t>
  </si>
  <si>
    <t>CT 42</t>
  </si>
  <si>
    <t>CT 43</t>
  </si>
  <si>
    <t>CT 44</t>
  </si>
  <si>
    <t>CT 45</t>
  </si>
  <si>
    <t>CT 46</t>
  </si>
  <si>
    <t>CT 47</t>
  </si>
  <si>
    <t>CT 48</t>
  </si>
  <si>
    <t>Totals:</t>
  </si>
  <si>
    <t>Balance Sheet</t>
  </si>
  <si>
    <t>Research</t>
  </si>
  <si>
    <t>Blue Prints</t>
  </si>
  <si>
    <t>Construction</t>
  </si>
  <si>
    <t>Colony Start</t>
  </si>
  <si>
    <t>Income</t>
  </si>
  <si>
    <t>Scale </t>
  </si>
  <si>
    <t>Credits </t>
  </si>
  <si>
    <t>Raw Mats </t>
  </si>
  <si>
    <t>Energy  </t>
  </si>
  <si>
    <t>Manpower </t>
  </si>
  <si>
    <t>Higher Education</t>
  </si>
  <si>
    <t>Character </t>
  </si>
  <si>
    <t>Droid </t>
  </si>
  <si>
    <t>Speeder </t>
  </si>
  <si>
    <t>Infrastructure Research</t>
  </si>
  <si>
    <t>Walker </t>
  </si>
  <si>
    <t>Starfighter </t>
  </si>
  <si>
    <t>Capital </t>
  </si>
  <si>
    <t>Basic Construction</t>
  </si>
  <si>
    <t>CT4</t>
  </si>
  <si>
    <t>Power Generator: Solid Fuel</t>
  </si>
  <si>
    <t xml:space="preserve">Income </t>
  </si>
  <si>
    <t>CT5</t>
  </si>
  <si>
    <t>R&amp;D Program</t>
  </si>
  <si>
    <t>Research 1</t>
  </si>
  <si>
    <t>Repairs to the Venturer</t>
  </si>
  <si>
    <t>Reverse Engineering</t>
  </si>
  <si>
    <t xml:space="preserve">Research 2 </t>
  </si>
  <si>
    <t>Mining and Refining Research</t>
  </si>
  <si>
    <t>Blueprint 1</t>
  </si>
  <si>
    <t>Blueprint 2</t>
  </si>
  <si>
    <t>Scale</t>
  </si>
  <si>
    <t>Raw Mats</t>
  </si>
  <si>
    <t>Energy</t>
  </si>
  <si>
    <t>Manpower</t>
  </si>
  <si>
    <t>Character</t>
  </si>
  <si>
    <t>Speeder</t>
  </si>
  <si>
    <t>Walker</t>
  </si>
  <si>
    <t>Starfighter</t>
  </si>
  <si>
    <t>Capital</t>
  </si>
  <si>
    <t>Hunter Class Strike Cruiser</t>
  </si>
  <si>
    <t xml:space="preserve">Colony Turn </t>
  </si>
  <si>
    <t>Item</t>
  </si>
  <si>
    <t>Available Trees</t>
  </si>
  <si>
    <t>Tier Unlocked</t>
  </si>
  <si>
    <t>Available Construction Items</t>
  </si>
  <si>
    <t>Starting</t>
  </si>
  <si>
    <t>Monarchy and Boot Camp</t>
  </si>
  <si>
    <t xml:space="preserve">Research </t>
  </si>
  <si>
    <t>Tier 4</t>
  </si>
  <si>
    <t>Boot Camps</t>
  </si>
  <si>
    <t>Civics</t>
  </si>
  <si>
    <t xml:space="preserve">Infrastructure </t>
  </si>
  <si>
    <t>Tier 2</t>
  </si>
  <si>
    <t xml:space="preserve">Military </t>
  </si>
  <si>
    <t>Tier 1</t>
  </si>
  <si>
    <t xml:space="preserve">Mining and Refining </t>
  </si>
  <si>
    <t>Research 2</t>
  </si>
  <si>
    <t>Research 3</t>
  </si>
  <si>
    <t>Research 4</t>
  </si>
  <si>
    <t>Research 5</t>
  </si>
  <si>
    <t>Location</t>
  </si>
  <si>
    <t>Mandragor</t>
  </si>
  <si>
    <t>Producer</t>
  </si>
  <si>
    <t>Production Bonuses</t>
  </si>
  <si>
    <t>Production Capabilities</t>
  </si>
  <si>
    <t>Quantity per Turn</t>
  </si>
  <si>
    <t>Total:</t>
  </si>
  <si>
    <t>Repulsors/Ground Vehicles</t>
  </si>
  <si>
    <t>Repulorlift Workshop</t>
  </si>
  <si>
    <t>Starfighter Scale Vehicles</t>
  </si>
  <si>
    <t>Ventura</t>
  </si>
  <si>
    <t>Troops</t>
  </si>
  <si>
    <t>Boot Camps (Mandragor) (5)</t>
  </si>
  <si>
    <t>Ventura  (2)</t>
  </si>
  <si>
    <t>Capital Scale Vehicles</t>
  </si>
  <si>
    <t>Ventura Munitions Factory</t>
  </si>
  <si>
    <t>60,000 Rounds of Ammunition</t>
  </si>
  <si>
    <t>120 Missiles</t>
  </si>
  <si>
    <t>Turn</t>
  </si>
  <si>
    <t>Production</t>
  </si>
  <si>
    <t>Munitions</t>
  </si>
  <si>
    <t>CT1</t>
  </si>
  <si>
    <t>200 Average Naval Troops</t>
  </si>
  <si>
    <t>500 Glow Rods, 500 Macrobinoculars</t>
  </si>
  <si>
    <t>CT2</t>
  </si>
  <si>
    <t>100 Average Starfighter Pilots, 200 Naval Troops</t>
  </si>
  <si>
    <t>1000 Syntherope and Grapples</t>
  </si>
  <si>
    <t>CT3</t>
  </si>
  <si>
    <t>400 Marines</t>
  </si>
  <si>
    <t>2 Rabaan Security Droid</t>
  </si>
  <si>
    <t>1 Mando Speeder</t>
  </si>
  <si>
    <t>500 Average Naval Troops</t>
  </si>
  <si>
    <t>CT6</t>
  </si>
  <si>
    <t>1000 Glow Rods</t>
  </si>
  <si>
    <t>CT7</t>
  </si>
  <si>
    <t>7 Mando Speeder</t>
  </si>
  <si>
    <t>2 Ventura Class Starfighters</t>
  </si>
  <si>
    <t>500 Average Naval Troops, 300 Average Starfighter Pilots</t>
  </si>
  <si>
    <t>1000 Macrobinoculars</t>
  </si>
  <si>
    <t>60000 Rounds of Ammunition
120 Missiles</t>
  </si>
  <si>
    <t>Speeder Scale Vehicles</t>
  </si>
  <si>
    <t>Light Frieghters</t>
  </si>
  <si>
    <t>Drop Ships/Shuttles</t>
  </si>
  <si>
    <t>Capital Scale Ships</t>
  </si>
  <si>
    <t>Character Scale Weapons</t>
  </si>
  <si>
    <t>Medical</t>
  </si>
  <si>
    <t>Armour</t>
  </si>
  <si>
    <t>Misc</t>
  </si>
  <si>
    <t>Tools</t>
  </si>
  <si>
    <t>LE Repair Droids</t>
  </si>
  <si>
    <t>Mando Land Speeder</t>
  </si>
  <si>
    <t>YT-1300</t>
  </si>
  <si>
    <t>Knife</t>
  </si>
  <si>
    <t>Medpac</t>
  </si>
  <si>
    <t>Blast Vest</t>
  </si>
  <si>
    <t>Standard Space Suit</t>
  </si>
  <si>
    <t>Datapad</t>
  </si>
  <si>
    <t>Rabaab Security Droids</t>
  </si>
  <si>
    <t>Blast Helmet</t>
  </si>
  <si>
    <t>Glowrod</t>
  </si>
  <si>
    <t>Blaster Pistol - Standard</t>
  </si>
  <si>
    <t>Breathmask</t>
  </si>
  <si>
    <t>Blaster Rifle - Standard</t>
  </si>
  <si>
    <t>Macrobinoculars</t>
  </si>
  <si>
    <t>Blaster Power Packs - Standard</t>
  </si>
  <si>
    <t>Recording Rod</t>
  </si>
  <si>
    <t>Concentrated Rations</t>
  </si>
  <si>
    <t>Syntherope</t>
  </si>
  <si>
    <t>Syntherope Dispensor</t>
  </si>
  <si>
    <t>Gyro Grapple</t>
  </si>
  <si>
    <t>Comlink</t>
  </si>
  <si>
    <t>Droid Model</t>
  </si>
  <si>
    <t>Quantity</t>
  </si>
  <si>
    <t>Vehicle</t>
  </si>
  <si>
    <t>Model</t>
  </si>
  <si>
    <t>General Equipment</t>
  </si>
  <si>
    <t xml:space="preserve">Weapons </t>
  </si>
  <si>
    <t>Starships</t>
  </si>
  <si>
    <t>Ammunition</t>
  </si>
  <si>
    <t>Astromech Droids</t>
  </si>
  <si>
    <t>R3 Astromech Droids</t>
  </si>
  <si>
    <t>Speeder Bikes</t>
  </si>
  <si>
    <t>Space Suits</t>
  </si>
  <si>
    <t>Melee</t>
  </si>
  <si>
    <t>Vest</t>
  </si>
  <si>
    <t>Freighters</t>
  </si>
  <si>
    <t>Stalwart</t>
  </si>
  <si>
    <t>Projectiles</t>
  </si>
  <si>
    <t xml:space="preserve">Argyle Class </t>
  </si>
  <si>
    <t>Ikas Adno Raptors</t>
  </si>
  <si>
    <t>Combat Knife</t>
  </si>
  <si>
    <t>R2</t>
  </si>
  <si>
    <t>Helmets</t>
  </si>
  <si>
    <t>MIssiles</t>
  </si>
  <si>
    <t>Concussion</t>
  </si>
  <si>
    <t>Gand Astromechs</t>
  </si>
  <si>
    <t>Speeders</t>
  </si>
  <si>
    <t xml:space="preserve">Rabaan </t>
  </si>
  <si>
    <t xml:space="preserve">Flight Helmets </t>
  </si>
  <si>
    <t>Blaster Pistol</t>
  </si>
  <si>
    <t>Ion Missiles</t>
  </si>
  <si>
    <t>Comlinks</t>
  </si>
  <si>
    <t xml:space="preserve">Blaster Rifle </t>
  </si>
  <si>
    <t>Suits</t>
  </si>
  <si>
    <t>Armoured Space Suits</t>
  </si>
  <si>
    <t>Gunnery Droids</t>
  </si>
  <si>
    <t>PG5 Gunnery Droid</t>
  </si>
  <si>
    <t>Tanks</t>
  </si>
  <si>
    <t>Project Rifles</t>
  </si>
  <si>
    <t>Repair Droids</t>
  </si>
  <si>
    <t>Fighters</t>
  </si>
  <si>
    <t>Ventura Class</t>
  </si>
  <si>
    <t>Engineering Droid</t>
  </si>
  <si>
    <t>Stun/Ion Guns</t>
  </si>
  <si>
    <t>Engineering Control Droid</t>
  </si>
  <si>
    <t>APCs</t>
  </si>
  <si>
    <t>Ventura APCs</t>
  </si>
  <si>
    <t>Syntherope/Dispensor, Grapple</t>
  </si>
  <si>
    <t>Worker Droids</t>
  </si>
  <si>
    <t>SE-4 Servant Droids</t>
  </si>
  <si>
    <t>ASP-7 Worker Droids</t>
  </si>
  <si>
    <t>Glow Rod</t>
  </si>
  <si>
    <t>Loader Droids</t>
  </si>
  <si>
    <t>Agricultural Droids</t>
  </si>
  <si>
    <t>Security Droids</t>
  </si>
  <si>
    <t xml:space="preserve">Rabaan Class </t>
  </si>
  <si>
    <t>Ventura Class Ship Board Defence Droids</t>
  </si>
  <si>
    <t>Protocol Units</t>
  </si>
  <si>
    <t>M-3PO</t>
  </si>
  <si>
    <t>Chiba DR-10 Protocol Droid</t>
  </si>
  <si>
    <t>C-3PO</t>
  </si>
  <si>
    <t>Notes</t>
  </si>
  <si>
    <t>Imperial Data Core</t>
  </si>
  <si>
    <t>20% Discount on Blue Printing Imperial Technology</t>
  </si>
  <si>
    <t>Navy</t>
  </si>
  <si>
    <t>Assigned</t>
  </si>
  <si>
    <t>Reserves</t>
  </si>
  <si>
    <t xml:space="preserve">Elite </t>
  </si>
  <si>
    <t>Veteran</t>
  </si>
  <si>
    <t xml:space="preserve">Average </t>
  </si>
  <si>
    <t>Recruit</t>
  </si>
  <si>
    <t>Totals</t>
  </si>
  <si>
    <t>Naval Personnel</t>
  </si>
  <si>
    <t>Pilots</t>
  </si>
  <si>
    <t>Marines</t>
  </si>
  <si>
    <t>Commandos</t>
  </si>
  <si>
    <t>Army</t>
  </si>
  <si>
    <t>Civil Forces</t>
  </si>
  <si>
    <t>Police</t>
  </si>
  <si>
    <t>Vehicle 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</si>
</sst>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3" fontId="0" fillId="0" borderId="0" xfId="0" applyNumberFormat="1" applyAlignment="1">
      <alignment horizont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/>
    <xf numFmtId="3" fontId="1" fillId="0" borderId="3" xfId="0" applyNumberFormat="1" applyFont="1" applyBorder="1" applyAlignment="1">
      <alignment horizontal="right"/>
    </xf>
    <xf numFmtId="3" fontId="0" fillId="0" borderId="4" xfId="0" applyNumberFormat="1" applyBorder="1"/>
    <xf numFmtId="3" fontId="1" fillId="0" borderId="5" xfId="0" applyNumberFormat="1" applyFont="1" applyBorder="1" applyAlignment="1">
      <alignment horizontal="right"/>
    </xf>
    <xf numFmtId="3" fontId="0" fillId="0" borderId="6" xfId="0" applyNumberFormat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7" xfId="0" applyBorder="1"/>
    <xf numFmtId="0" fontId="1" fillId="0" borderId="7" xfId="0" applyFont="1" applyBorder="1"/>
    <xf numFmtId="3" fontId="0" fillId="0" borderId="7" xfId="0" applyNumberFormat="1" applyBorder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1" fillId="0" borderId="8" xfId="0" applyFont="1" applyBorder="1"/>
    <xf numFmtId="0" fontId="0" fillId="0" borderId="8" xfId="0" applyBorder="1"/>
    <xf numFmtId="0" fontId="4" fillId="0" borderId="0" xfId="0" applyFont="1" applyAlignment="1">
      <alignment horizontal="left" vertical="center"/>
    </xf>
    <xf numFmtId="0" fontId="0" fillId="0" borderId="0" xfId="0" applyBorder="1"/>
    <xf numFmtId="0" fontId="1" fillId="0" borderId="12" xfId="0" applyFont="1" applyBorder="1"/>
    <xf numFmtId="0" fontId="1" fillId="0" borderId="13" xfId="0" applyFont="1" applyBorder="1"/>
    <xf numFmtId="0" fontId="0" fillId="0" borderId="13" xfId="0" applyBorder="1"/>
    <xf numFmtId="0" fontId="1" fillId="0" borderId="12" xfId="0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0" xfId="0" applyNumberFormat="1" applyBorder="1"/>
    <xf numFmtId="0" fontId="7" fillId="0" borderId="0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1" fillId="0" borderId="0" xfId="0" applyFont="1" applyAlignment="1">
      <alignment horizontal="right" vertical="center"/>
    </xf>
    <xf numFmtId="3" fontId="1" fillId="0" borderId="8" xfId="0" applyNumberFormat="1" applyFont="1" applyBorder="1"/>
    <xf numFmtId="3" fontId="0" fillId="0" borderId="8" xfId="0" applyNumberForma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0" fontId="0" fillId="0" borderId="12" xfId="0" applyBorder="1"/>
    <xf numFmtId="3" fontId="0" fillId="0" borderId="25" xfId="0" applyNumberFormat="1" applyBorder="1"/>
    <xf numFmtId="3" fontId="0" fillId="0" borderId="26" xfId="0" applyNumberFormat="1" applyBorder="1"/>
    <xf numFmtId="3" fontId="0" fillId="0" borderId="27" xfId="0" applyNumberFormat="1" applyBorder="1"/>
    <xf numFmtId="3" fontId="1" fillId="0" borderId="12" xfId="0" applyNumberFormat="1" applyFont="1" applyBorder="1"/>
    <xf numFmtId="3" fontId="1" fillId="0" borderId="13" xfId="0" applyNumberFormat="1" applyFont="1" applyBorder="1"/>
    <xf numFmtId="3" fontId="1" fillId="0" borderId="25" xfId="0" applyNumberFormat="1" applyFont="1" applyBorder="1"/>
    <xf numFmtId="0" fontId="0" fillId="0" borderId="7" xfId="0" applyBorder="1" applyAlignment="1">
      <alignment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wrapText="1"/>
    </xf>
    <xf numFmtId="0" fontId="1" fillId="0" borderId="8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1">
    <cellStyle name="Normal" xfId="0" builtinId="0"/>
  </cellStyles>
  <dxfs count="5">
    <dxf>
      <numFmt numFmtId="3" formatCode="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</dxf>
    <dxf>
      <font>
        <b/>
      </font>
      <numFmt numFmtId="3" formatCode="#,##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F4AB3-B81E-4B32-B2AA-12EEBD62AFA4}" name="Table1" displayName="Table1" ref="E1:G9" totalsRowShown="0" headerRowDxfId="4" dataDxfId="3">
  <autoFilter ref="E1:G9" xr:uid="{DBBF4AB3-B81E-4B32-B2AA-12EEBD62AFA4}"/>
  <tableColumns count="3">
    <tableColumn id="1" xr3:uid="{76B60917-6F98-4EA1-AA75-18CDD630E3A6}" name="Vehicle" dataDxfId="2"/>
    <tableColumn id="2" xr3:uid="{12C7491F-4BDB-4097-B3BC-1BA11254DCFD}" name="Model" dataDxfId="1"/>
    <tableColumn id="3" xr3:uid="{2DEF578A-4A36-4263-874D-6B8E9BFFA0D8}" name="Quant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opLeftCell="G1" workbookViewId="0">
      <selection activeCell="J6" sqref="J6"/>
    </sheetView>
  </sheetViews>
  <sheetFormatPr defaultRowHeight="15"/>
  <cols>
    <col min="1" max="1" width="15.85546875" style="3" bestFit="1" customWidth="1"/>
    <col min="2" max="2" width="26.85546875" style="3" customWidth="1"/>
    <col min="3" max="5" width="9.140625" style="3"/>
    <col min="6" max="7" width="9.140625" style="3" customWidth="1"/>
    <col min="8" max="8" width="17.5703125" style="3" bestFit="1" customWidth="1"/>
    <col min="9" max="9" width="27.42578125" style="3" bestFit="1" customWidth="1"/>
    <col min="10" max="10" width="52.5703125" style="3" bestFit="1" customWidth="1"/>
    <col min="11" max="14" width="9.140625" style="3"/>
    <col min="15" max="15" width="29" style="3" bestFit="1" customWidth="1"/>
    <col min="16" max="16384" width="9.140625" style="3"/>
  </cols>
  <sheetData>
    <row r="1" spans="1:15">
      <c r="A1" s="3" t="s">
        <v>0</v>
      </c>
      <c r="B1" s="64" t="s">
        <v>1</v>
      </c>
      <c r="H1" s="67" t="s">
        <v>2</v>
      </c>
      <c r="I1" s="67"/>
      <c r="J1" s="67"/>
    </row>
    <row r="2" spans="1:15">
      <c r="A2" s="3" t="s">
        <v>3</v>
      </c>
      <c r="B2" s="64" t="s">
        <v>4</v>
      </c>
      <c r="I2" s="3" t="s">
        <v>5</v>
      </c>
      <c r="J2" s="3" t="s">
        <v>6</v>
      </c>
    </row>
    <row r="3" spans="1:15">
      <c r="A3" s="3" t="s">
        <v>7</v>
      </c>
      <c r="B3" s="64" t="s">
        <v>8</v>
      </c>
      <c r="C3" s="3" t="s">
        <v>9</v>
      </c>
      <c r="D3" s="3" t="s">
        <v>10</v>
      </c>
      <c r="H3" s="3" t="s">
        <v>11</v>
      </c>
      <c r="I3" s="3" t="s">
        <v>12</v>
      </c>
      <c r="J3" s="3" t="s">
        <v>13</v>
      </c>
    </row>
    <row r="4" spans="1:15">
      <c r="A4" s="3" t="s">
        <v>14</v>
      </c>
      <c r="B4" s="64"/>
      <c r="J4" s="3" t="s">
        <v>15</v>
      </c>
    </row>
    <row r="5" spans="1:15" ht="30.75">
      <c r="A5" s="3" t="s">
        <v>16</v>
      </c>
      <c r="B5" s="64" t="s">
        <v>17</v>
      </c>
      <c r="J5" s="3" t="s">
        <v>18</v>
      </c>
    </row>
    <row r="6" spans="1:15" ht="30.75">
      <c r="A6" s="3" t="s">
        <v>19</v>
      </c>
      <c r="B6" s="64" t="s">
        <v>20</v>
      </c>
      <c r="J6" s="3" t="s">
        <v>21</v>
      </c>
    </row>
    <row r="7" spans="1:15" ht="30.75">
      <c r="A7" s="3" t="s">
        <v>22</v>
      </c>
      <c r="B7" s="64" t="s">
        <v>23</v>
      </c>
      <c r="H7" s="3" t="s">
        <v>24</v>
      </c>
    </row>
    <row r="8" spans="1:15">
      <c r="A8" s="3" t="s">
        <v>25</v>
      </c>
      <c r="B8" s="64" t="s">
        <v>26</v>
      </c>
    </row>
    <row r="9" spans="1:15">
      <c r="A9" s="3" t="s">
        <v>27</v>
      </c>
      <c r="B9" s="64" t="s">
        <v>28</v>
      </c>
      <c r="I9" s="23"/>
    </row>
    <row r="10" spans="1:15">
      <c r="A10" s="3" t="s">
        <v>29</v>
      </c>
      <c r="B10" s="64" t="s">
        <v>30</v>
      </c>
      <c r="I10" s="23"/>
      <c r="O10" s="23"/>
    </row>
    <row r="11" spans="1:15">
      <c r="A11" s="3" t="s">
        <v>31</v>
      </c>
      <c r="B11" s="64" t="s">
        <v>32</v>
      </c>
      <c r="I11" s="23"/>
      <c r="O11" s="23"/>
    </row>
    <row r="12" spans="1:15" ht="45.75">
      <c r="A12" s="3" t="s">
        <v>33</v>
      </c>
      <c r="B12" s="64" t="s">
        <v>34</v>
      </c>
      <c r="I12" s="23"/>
      <c r="O12" s="23"/>
    </row>
    <row r="13" spans="1:15">
      <c r="A13" s="3" t="s">
        <v>35</v>
      </c>
      <c r="B13" s="64" t="s">
        <v>36</v>
      </c>
      <c r="I13" s="23"/>
      <c r="O13" s="23"/>
    </row>
    <row r="14" spans="1:15">
      <c r="A14" s="3" t="s">
        <v>37</v>
      </c>
      <c r="B14" s="1">
        <v>250000</v>
      </c>
      <c r="I14" s="23"/>
      <c r="O14" s="23"/>
    </row>
    <row r="15" spans="1:15">
      <c r="A15" s="3" t="s">
        <v>38</v>
      </c>
      <c r="B15" s="64" t="s">
        <v>12</v>
      </c>
      <c r="I15" s="23"/>
      <c r="O15" s="23"/>
    </row>
    <row r="16" spans="1:15">
      <c r="A16" s="3" t="s">
        <v>39</v>
      </c>
      <c r="B16" s="64" t="s">
        <v>40</v>
      </c>
      <c r="I16" s="23"/>
      <c r="O16" s="23"/>
    </row>
    <row r="17" spans="1:15">
      <c r="A17" s="3" t="s">
        <v>41</v>
      </c>
      <c r="B17" s="64"/>
      <c r="I17" s="23"/>
      <c r="O17" s="23"/>
    </row>
    <row r="18" spans="1:15">
      <c r="A18" s="3" t="s">
        <v>42</v>
      </c>
      <c r="B18" s="64"/>
      <c r="I18" s="23"/>
      <c r="O18" s="23"/>
    </row>
    <row r="19" spans="1:15">
      <c r="B19" s="64"/>
      <c r="I19" s="23"/>
      <c r="O19" s="24"/>
    </row>
    <row r="20" spans="1:15">
      <c r="A20" s="3" t="s">
        <v>43</v>
      </c>
      <c r="B20" s="64"/>
      <c r="I20" s="23"/>
      <c r="O20" s="23"/>
    </row>
    <row r="21" spans="1:15">
      <c r="I21" s="23"/>
      <c r="O21" s="23"/>
    </row>
    <row r="22" spans="1:15">
      <c r="I22" s="23"/>
      <c r="O22" s="23"/>
    </row>
    <row r="23" spans="1:15">
      <c r="I23" s="23"/>
      <c r="O23" s="23"/>
    </row>
    <row r="24" spans="1:15">
      <c r="I24" s="23"/>
      <c r="O24" s="23"/>
    </row>
    <row r="25" spans="1:15">
      <c r="O25" s="23"/>
    </row>
    <row r="26" spans="1:15" ht="91.5">
      <c r="A26" s="3" t="s">
        <v>44</v>
      </c>
      <c r="B26" s="3" t="s">
        <v>45</v>
      </c>
      <c r="H26" s="3" t="s">
        <v>46</v>
      </c>
      <c r="O26" s="23"/>
    </row>
    <row r="27" spans="1:15">
      <c r="O27" s="23"/>
    </row>
    <row r="28" spans="1:15">
      <c r="O28" s="23"/>
    </row>
    <row r="29" spans="1:15">
      <c r="O29" s="23"/>
    </row>
    <row r="30" spans="1:15">
      <c r="H30" s="3" t="s">
        <v>47</v>
      </c>
      <c r="O30" s="23"/>
    </row>
    <row r="31" spans="1:15">
      <c r="O31" s="23"/>
    </row>
    <row r="32" spans="1:15">
      <c r="O32" s="23"/>
    </row>
    <row r="33" spans="8:15">
      <c r="O33" s="23"/>
    </row>
    <row r="34" spans="8:15">
      <c r="H34" s="3" t="s">
        <v>48</v>
      </c>
      <c r="O34" s="23"/>
    </row>
    <row r="35" spans="8:15">
      <c r="O35" s="23"/>
    </row>
    <row r="36" spans="8:15">
      <c r="O36" s="23"/>
    </row>
    <row r="37" spans="8:15">
      <c r="O37" s="23"/>
    </row>
    <row r="38" spans="8:15">
      <c r="H38" s="3" t="s">
        <v>49</v>
      </c>
      <c r="O38" s="23"/>
    </row>
    <row r="39" spans="8:15">
      <c r="O39" s="23"/>
    </row>
    <row r="40" spans="8:15">
      <c r="H40" s="3" t="s">
        <v>50</v>
      </c>
      <c r="O40" s="23"/>
    </row>
    <row r="41" spans="8:15">
      <c r="O41" s="23"/>
    </row>
    <row r="42" spans="8:15">
      <c r="O42" s="23"/>
    </row>
    <row r="43" spans="8:15">
      <c r="O43" s="23"/>
    </row>
    <row r="44" spans="8:15">
      <c r="O44" s="23"/>
    </row>
    <row r="45" spans="8:15">
      <c r="O45" s="23"/>
    </row>
    <row r="46" spans="8:15">
      <c r="O46" s="23"/>
    </row>
    <row r="47" spans="8:15">
      <c r="O47" s="23"/>
    </row>
    <row r="48" spans="8:15">
      <c r="O48" s="23"/>
    </row>
    <row r="49" spans="15:15">
      <c r="O49" s="23"/>
    </row>
    <row r="50" spans="15:15">
      <c r="O50" s="23"/>
    </row>
    <row r="51" spans="15:15">
      <c r="O51" s="23"/>
    </row>
    <row r="52" spans="15:15">
      <c r="O52" s="23"/>
    </row>
    <row r="53" spans="15:15">
      <c r="O53" s="23"/>
    </row>
    <row r="54" spans="15:15">
      <c r="O54" s="23"/>
    </row>
    <row r="55" spans="15:15">
      <c r="O55" s="23"/>
    </row>
    <row r="56" spans="15:15">
      <c r="O56" s="23"/>
    </row>
    <row r="57" spans="15:15">
      <c r="O57" s="23"/>
    </row>
    <row r="58" spans="15:15">
      <c r="O58" s="23"/>
    </row>
    <row r="59" spans="15:15">
      <c r="O59" s="23"/>
    </row>
    <row r="60" spans="15:15">
      <c r="O60" s="23"/>
    </row>
    <row r="61" spans="15:15">
      <c r="O61" s="23"/>
    </row>
    <row r="62" spans="15:15">
      <c r="O62" s="23"/>
    </row>
    <row r="63" spans="15:15">
      <c r="O63" s="23"/>
    </row>
    <row r="64" spans="15:15">
      <c r="O64" s="23"/>
    </row>
    <row r="65" spans="15:15">
      <c r="O65" s="23"/>
    </row>
    <row r="66" spans="15:15">
      <c r="O66" s="23"/>
    </row>
    <row r="67" spans="15:15">
      <c r="O67" s="23"/>
    </row>
    <row r="68" spans="15:15">
      <c r="O68" s="23"/>
    </row>
    <row r="69" spans="15:15">
      <c r="O69" s="23"/>
    </row>
    <row r="70" spans="15:15">
      <c r="O70" s="23"/>
    </row>
    <row r="71" spans="15:15">
      <c r="O71" s="23"/>
    </row>
    <row r="72" spans="15:15">
      <c r="O72" s="23"/>
    </row>
    <row r="73" spans="15:15">
      <c r="O73" s="23"/>
    </row>
    <row r="74" spans="15:15">
      <c r="O74" s="23"/>
    </row>
    <row r="75" spans="15:15">
      <c r="O75" s="23"/>
    </row>
    <row r="76" spans="15:15">
      <c r="O76" s="23"/>
    </row>
    <row r="77" spans="15:15">
      <c r="O77" s="23"/>
    </row>
    <row r="78" spans="15:15">
      <c r="O78" s="23"/>
    </row>
    <row r="79" spans="15:15">
      <c r="O79" s="23"/>
    </row>
    <row r="80" spans="15:15">
      <c r="O80" s="23"/>
    </row>
    <row r="81" spans="15:15">
      <c r="O81" s="23"/>
    </row>
    <row r="82" spans="15:15">
      <c r="O82" s="23"/>
    </row>
    <row r="83" spans="15:15">
      <c r="O83" s="23"/>
    </row>
    <row r="84" spans="15:15">
      <c r="O84" s="23"/>
    </row>
    <row r="85" spans="15:15">
      <c r="O85" s="23"/>
    </row>
    <row r="86" spans="15:15">
      <c r="O86" s="23"/>
    </row>
    <row r="87" spans="15:15">
      <c r="O87" s="23"/>
    </row>
    <row r="88" spans="15:15">
      <c r="O88" s="23"/>
    </row>
    <row r="89" spans="15:15">
      <c r="O89" s="23"/>
    </row>
  </sheetData>
  <mergeCells count="1"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3E0F-3DCC-4CFB-A7BF-21AC344A7020}">
  <dimension ref="A1:AC80"/>
  <sheetViews>
    <sheetView workbookViewId="0">
      <selection activeCell="G1" sqref="G1"/>
    </sheetView>
  </sheetViews>
  <sheetFormatPr defaultRowHeight="15"/>
  <cols>
    <col min="1" max="1" width="21.42578125" bestFit="1" customWidth="1"/>
    <col min="2" max="2" width="10.28515625" bestFit="1" customWidth="1"/>
    <col min="3" max="28" width="10.140625" bestFit="1" customWidth="1"/>
  </cols>
  <sheetData>
    <row r="1" spans="1:29">
      <c r="A1" s="50" t="s">
        <v>51</v>
      </c>
      <c r="B1" s="51">
        <f>SUM(B3:B79)</f>
        <v>250000</v>
      </c>
      <c r="C1" s="51">
        <f t="shared" ref="C1:AA1" si="0">SUM(C3:C79)</f>
        <v>258264</v>
      </c>
      <c r="D1" s="51">
        <f t="shared" si="0"/>
        <v>293429.28000000003</v>
      </c>
      <c r="E1" s="51">
        <f t="shared" si="0"/>
        <v>299297.86559999996</v>
      </c>
      <c r="F1" s="51">
        <f t="shared" si="0"/>
        <v>305283.82291200006</v>
      </c>
      <c r="G1" s="51">
        <f t="shared" si="0"/>
        <v>311583.57085824001</v>
      </c>
      <c r="H1" s="51">
        <f t="shared" si="0"/>
        <v>317815.24227540469</v>
      </c>
      <c r="I1" s="51">
        <f t="shared" si="0"/>
        <v>324171.54712091282</v>
      </c>
      <c r="J1" s="51">
        <f t="shared" si="0"/>
        <v>330654.9780633311</v>
      </c>
      <c r="K1" s="51">
        <f t="shared" si="0"/>
        <v>337268.07762459782</v>
      </c>
      <c r="L1" s="51">
        <f t="shared" si="0"/>
        <v>344013.43917708984</v>
      </c>
      <c r="M1" s="51">
        <f t="shared" si="0"/>
        <v>350893.70796063158</v>
      </c>
      <c r="N1" s="51">
        <f t="shared" si="0"/>
        <v>357911.58211984421</v>
      </c>
      <c r="O1" s="51">
        <f t="shared" si="0"/>
        <v>365069.81376224116</v>
      </c>
      <c r="P1" s="51">
        <f t="shared" si="0"/>
        <v>372371.21003748593</v>
      </c>
      <c r="Q1" s="51">
        <f t="shared" si="0"/>
        <v>379818.63423823565</v>
      </c>
      <c r="R1" s="51">
        <f t="shared" si="0"/>
        <v>387415.00692300033</v>
      </c>
      <c r="S1" s="51">
        <f t="shared" si="0"/>
        <v>395163.30706146045</v>
      </c>
      <c r="T1" s="51">
        <f t="shared" si="0"/>
        <v>403066.57320268964</v>
      </c>
      <c r="U1" s="51">
        <f t="shared" si="0"/>
        <v>411127.90466674336</v>
      </c>
      <c r="V1" s="51">
        <f t="shared" si="0"/>
        <v>419350.4627600782</v>
      </c>
      <c r="W1" s="51">
        <f t="shared" si="0"/>
        <v>427737.47201527975</v>
      </c>
      <c r="X1" s="51">
        <f t="shared" si="0"/>
        <v>436292.22145558562</v>
      </c>
      <c r="Y1" s="51">
        <f t="shared" si="0"/>
        <v>445018.06588469713</v>
      </c>
      <c r="Z1" s="51">
        <f t="shared" si="0"/>
        <v>453918.42720239109</v>
      </c>
      <c r="AA1" s="51">
        <f t="shared" si="0"/>
        <v>462996.79574643879</v>
      </c>
      <c r="AB1" s="51">
        <f t="shared" ref="AB1" si="1">SUM(AB3:AB79)</f>
        <v>472256.73166136764</v>
      </c>
      <c r="AC1" s="52"/>
    </row>
    <row r="2" spans="1:29">
      <c r="A2" s="59" t="s">
        <v>52</v>
      </c>
      <c r="B2" s="48" t="s">
        <v>37</v>
      </c>
      <c r="C2" s="48" t="s">
        <v>53</v>
      </c>
      <c r="D2" s="48" t="s">
        <v>54</v>
      </c>
      <c r="E2" s="48" t="s">
        <v>55</v>
      </c>
      <c r="F2" s="48" t="s">
        <v>56</v>
      </c>
      <c r="G2" s="48" t="s">
        <v>57</v>
      </c>
      <c r="H2" s="48" t="s">
        <v>58</v>
      </c>
      <c r="I2" s="48" t="s">
        <v>59</v>
      </c>
      <c r="J2" s="48" t="s">
        <v>60</v>
      </c>
      <c r="K2" s="48" t="s">
        <v>61</v>
      </c>
      <c r="L2" s="48" t="s">
        <v>62</v>
      </c>
      <c r="M2" s="48" t="s">
        <v>63</v>
      </c>
      <c r="N2" s="48" t="s">
        <v>64</v>
      </c>
      <c r="O2" s="48" t="s">
        <v>65</v>
      </c>
      <c r="P2" s="48" t="s">
        <v>66</v>
      </c>
      <c r="Q2" s="48" t="s">
        <v>67</v>
      </c>
      <c r="R2" s="48" t="s">
        <v>68</v>
      </c>
      <c r="S2" s="48" t="s">
        <v>69</v>
      </c>
      <c r="T2" s="48" t="s">
        <v>70</v>
      </c>
      <c r="U2" s="48" t="s">
        <v>71</v>
      </c>
      <c r="V2" s="48" t="s">
        <v>72</v>
      </c>
      <c r="W2" s="48" t="s">
        <v>73</v>
      </c>
      <c r="X2" s="48" t="s">
        <v>74</v>
      </c>
      <c r="Y2" s="48" t="s">
        <v>75</v>
      </c>
      <c r="Z2" s="48" t="s">
        <v>76</v>
      </c>
      <c r="AA2" s="48" t="s">
        <v>77</v>
      </c>
      <c r="AB2" s="48" t="s">
        <v>78</v>
      </c>
      <c r="AC2" s="60"/>
    </row>
    <row r="3" spans="1:29">
      <c r="A3" s="59" t="s">
        <v>79</v>
      </c>
      <c r="B3" s="49">
        <v>160000</v>
      </c>
      <c r="C3" s="49">
        <f>SUM(B3*1.02)</f>
        <v>163200</v>
      </c>
      <c r="D3" s="49">
        <f t="shared" ref="D3:AA4" si="2">SUM(C3*1.02)</f>
        <v>166464</v>
      </c>
      <c r="E3" s="49">
        <f t="shared" si="2"/>
        <v>169793.28</v>
      </c>
      <c r="F3" s="49">
        <f t="shared" si="2"/>
        <v>173189.14559999999</v>
      </c>
      <c r="G3" s="49">
        <v>176847</v>
      </c>
      <c r="H3" s="49">
        <f t="shared" si="2"/>
        <v>180383.94</v>
      </c>
      <c r="I3" s="49">
        <f t="shared" si="2"/>
        <v>183991.6188</v>
      </c>
      <c r="J3" s="49">
        <f t="shared" si="2"/>
        <v>187671.451176</v>
      </c>
      <c r="K3" s="49">
        <f t="shared" si="2"/>
        <v>191424.88019952</v>
      </c>
      <c r="L3" s="49">
        <f t="shared" si="2"/>
        <v>195253.3778035104</v>
      </c>
      <c r="M3" s="49">
        <f t="shared" si="2"/>
        <v>199158.44535958063</v>
      </c>
      <c r="N3" s="49">
        <f t="shared" si="2"/>
        <v>203141.61426677223</v>
      </c>
      <c r="O3" s="49">
        <f t="shared" si="2"/>
        <v>207204.44655210769</v>
      </c>
      <c r="P3" s="49">
        <f t="shared" si="2"/>
        <v>211348.53548314984</v>
      </c>
      <c r="Q3" s="49">
        <f t="shared" si="2"/>
        <v>215575.50619281284</v>
      </c>
      <c r="R3" s="49">
        <f t="shared" si="2"/>
        <v>219887.01631666909</v>
      </c>
      <c r="S3" s="49">
        <f t="shared" si="2"/>
        <v>224284.75664300247</v>
      </c>
      <c r="T3" s="49">
        <f t="shared" si="2"/>
        <v>228770.45177586252</v>
      </c>
      <c r="U3" s="49">
        <f t="shared" si="2"/>
        <v>233345.86081137977</v>
      </c>
      <c r="V3" s="49">
        <f t="shared" si="2"/>
        <v>238012.77802760736</v>
      </c>
      <c r="W3" s="49">
        <f t="shared" si="2"/>
        <v>242773.03358815951</v>
      </c>
      <c r="X3" s="49">
        <f t="shared" si="2"/>
        <v>247628.49425992271</v>
      </c>
      <c r="Y3" s="49">
        <f t="shared" si="2"/>
        <v>252581.06414512117</v>
      </c>
      <c r="Z3" s="49">
        <f t="shared" si="2"/>
        <v>257632.6854280236</v>
      </c>
      <c r="AA3" s="49">
        <f t="shared" si="2"/>
        <v>262785.33913658408</v>
      </c>
      <c r="AB3" s="49">
        <f t="shared" ref="AB3" si="3">SUM(AA3*1.02)</f>
        <v>268041.04591931577</v>
      </c>
      <c r="AC3" s="54"/>
    </row>
    <row r="4" spans="1:29">
      <c r="A4" s="59" t="s">
        <v>80</v>
      </c>
      <c r="B4" s="49">
        <v>20000</v>
      </c>
      <c r="C4" s="49">
        <f t="shared" ref="C4:R67" si="4">SUM(B4*1.02)</f>
        <v>20400</v>
      </c>
      <c r="D4" s="49">
        <f t="shared" si="4"/>
        <v>20808</v>
      </c>
      <c r="E4" s="49">
        <f t="shared" si="4"/>
        <v>21224.16</v>
      </c>
      <c r="F4" s="49">
        <f t="shared" si="4"/>
        <v>21648.643199999999</v>
      </c>
      <c r="G4" s="49">
        <f t="shared" si="4"/>
        <v>22081.616063999998</v>
      </c>
      <c r="H4" s="49">
        <f t="shared" si="4"/>
        <v>22523.24838528</v>
      </c>
      <c r="I4" s="49">
        <f t="shared" si="4"/>
        <v>22973.7133529856</v>
      </c>
      <c r="J4" s="49">
        <f t="shared" si="4"/>
        <v>23433.187620045312</v>
      </c>
      <c r="K4" s="49">
        <f t="shared" si="4"/>
        <v>23901.851372446217</v>
      </c>
      <c r="L4" s="49">
        <f t="shared" si="4"/>
        <v>24379.888399895142</v>
      </c>
      <c r="M4" s="49">
        <f t="shared" si="4"/>
        <v>24867.486167893047</v>
      </c>
      <c r="N4" s="49">
        <f t="shared" si="4"/>
        <v>25364.835891250907</v>
      </c>
      <c r="O4" s="49">
        <f t="shared" si="4"/>
        <v>25872.132609075925</v>
      </c>
      <c r="P4" s="49">
        <f t="shared" si="4"/>
        <v>26389.575261257443</v>
      </c>
      <c r="Q4" s="49">
        <f t="shared" si="4"/>
        <v>26917.366766482592</v>
      </c>
      <c r="R4" s="49">
        <f t="shared" si="4"/>
        <v>27455.714101812246</v>
      </c>
      <c r="S4" s="49">
        <f t="shared" si="2"/>
        <v>28004.828383848489</v>
      </c>
      <c r="T4" s="49">
        <f t="shared" si="2"/>
        <v>28564.92495152546</v>
      </c>
      <c r="U4" s="49">
        <f t="shared" si="2"/>
        <v>29136.223450555968</v>
      </c>
      <c r="V4" s="49">
        <f t="shared" si="2"/>
        <v>29718.947919567087</v>
      </c>
      <c r="W4" s="49">
        <f t="shared" si="2"/>
        <v>30313.326877958429</v>
      </c>
      <c r="X4" s="49">
        <f t="shared" si="2"/>
        <v>30919.593415517596</v>
      </c>
      <c r="Y4" s="49">
        <f t="shared" si="2"/>
        <v>31537.985283827948</v>
      </c>
      <c r="Z4" s="49">
        <f t="shared" si="2"/>
        <v>32168.744989504507</v>
      </c>
      <c r="AA4" s="49">
        <f t="shared" si="2"/>
        <v>32812.119889294598</v>
      </c>
      <c r="AB4" s="49">
        <f t="shared" ref="D4:AB15" si="5">SUM(AA4*1.02)</f>
        <v>33468.36228708049</v>
      </c>
      <c r="AC4" s="54"/>
    </row>
    <row r="5" spans="1:29">
      <c r="A5" s="59" t="s">
        <v>81</v>
      </c>
      <c r="B5" s="49">
        <v>800</v>
      </c>
      <c r="C5" s="49">
        <f t="shared" si="4"/>
        <v>816</v>
      </c>
      <c r="D5" s="49">
        <f t="shared" si="5"/>
        <v>832.32</v>
      </c>
      <c r="E5" s="49">
        <f t="shared" si="5"/>
        <v>848.96640000000002</v>
      </c>
      <c r="F5" s="49">
        <f t="shared" si="5"/>
        <v>865.94572800000003</v>
      </c>
      <c r="G5" s="49">
        <f t="shared" si="5"/>
        <v>883.26464256000008</v>
      </c>
      <c r="H5" s="49">
        <f t="shared" si="5"/>
        <v>900.92993541120006</v>
      </c>
      <c r="I5" s="49">
        <f t="shared" si="5"/>
        <v>918.94853411942404</v>
      </c>
      <c r="J5" s="49">
        <f t="shared" si="5"/>
        <v>937.32750480181255</v>
      </c>
      <c r="K5" s="49">
        <f t="shared" si="5"/>
        <v>956.07405489784878</v>
      </c>
      <c r="L5" s="49">
        <f t="shared" si="5"/>
        <v>975.19553599580581</v>
      </c>
      <c r="M5" s="49">
        <f t="shared" si="5"/>
        <v>994.69944671572193</v>
      </c>
      <c r="N5" s="49">
        <f t="shared" si="5"/>
        <v>1014.5934356500364</v>
      </c>
      <c r="O5" s="49">
        <f t="shared" si="5"/>
        <v>1034.8853043630372</v>
      </c>
      <c r="P5" s="49">
        <f t="shared" si="5"/>
        <v>1055.5830104502979</v>
      </c>
      <c r="Q5" s="49">
        <f t="shared" si="5"/>
        <v>1076.6946706593039</v>
      </c>
      <c r="R5" s="49">
        <f t="shared" si="5"/>
        <v>1098.2285640724901</v>
      </c>
      <c r="S5" s="49">
        <f t="shared" si="5"/>
        <v>1120.1931353539401</v>
      </c>
      <c r="T5" s="49">
        <f t="shared" si="5"/>
        <v>1142.5969980610189</v>
      </c>
      <c r="U5" s="49">
        <f t="shared" si="5"/>
        <v>1165.4489380222392</v>
      </c>
      <c r="V5" s="49">
        <f t="shared" si="5"/>
        <v>1188.7579167826841</v>
      </c>
      <c r="W5" s="49">
        <f t="shared" si="5"/>
        <v>1212.5330751183378</v>
      </c>
      <c r="X5" s="49">
        <f t="shared" si="5"/>
        <v>1236.7837366207045</v>
      </c>
      <c r="Y5" s="49">
        <f t="shared" si="5"/>
        <v>1261.5194113531186</v>
      </c>
      <c r="Z5" s="49">
        <f t="shared" si="5"/>
        <v>1286.7497995801809</v>
      </c>
      <c r="AA5" s="49">
        <f t="shared" si="5"/>
        <v>1312.4847955717846</v>
      </c>
      <c r="AB5" s="49">
        <f t="shared" si="5"/>
        <v>1338.7344914832204</v>
      </c>
      <c r="AC5" s="54"/>
    </row>
    <row r="6" spans="1:29">
      <c r="A6" s="59" t="s">
        <v>82</v>
      </c>
      <c r="B6" s="49">
        <v>1200</v>
      </c>
      <c r="C6" s="49">
        <f t="shared" si="4"/>
        <v>1224</v>
      </c>
      <c r="D6" s="49">
        <f t="shared" si="5"/>
        <v>1248.48</v>
      </c>
      <c r="E6" s="49">
        <f t="shared" si="5"/>
        <v>1273.4496000000001</v>
      </c>
      <c r="F6" s="49">
        <f t="shared" si="5"/>
        <v>1298.9185920000002</v>
      </c>
      <c r="G6" s="49">
        <f t="shared" si="5"/>
        <v>1324.8969638400004</v>
      </c>
      <c r="H6" s="49">
        <f t="shared" si="5"/>
        <v>1351.3949031168004</v>
      </c>
      <c r="I6" s="49">
        <f t="shared" si="5"/>
        <v>1378.4228011791365</v>
      </c>
      <c r="J6" s="49">
        <f t="shared" si="5"/>
        <v>1405.9912572027192</v>
      </c>
      <c r="K6" s="49">
        <f t="shared" si="5"/>
        <v>1434.1110823467736</v>
      </c>
      <c r="L6" s="49">
        <f t="shared" si="5"/>
        <v>1462.7933039937091</v>
      </c>
      <c r="M6" s="49">
        <f t="shared" si="5"/>
        <v>1492.0491700735834</v>
      </c>
      <c r="N6" s="49">
        <f t="shared" si="5"/>
        <v>1521.8901534750551</v>
      </c>
      <c r="O6" s="49">
        <f t="shared" si="5"/>
        <v>1552.3279565445562</v>
      </c>
      <c r="P6" s="49">
        <f t="shared" si="5"/>
        <v>1583.3745156754474</v>
      </c>
      <c r="Q6" s="49">
        <f t="shared" si="5"/>
        <v>1615.0420059889564</v>
      </c>
      <c r="R6" s="49">
        <f t="shared" si="5"/>
        <v>1647.3428461087356</v>
      </c>
      <c r="S6" s="49">
        <f t="shared" si="5"/>
        <v>1680.2897030309102</v>
      </c>
      <c r="T6" s="49">
        <f t="shared" si="5"/>
        <v>1713.8954970915286</v>
      </c>
      <c r="U6" s="49">
        <f t="shared" si="5"/>
        <v>1748.1734070333591</v>
      </c>
      <c r="V6" s="49">
        <f t="shared" si="5"/>
        <v>1783.1368751740263</v>
      </c>
      <c r="W6" s="49">
        <f t="shared" si="5"/>
        <v>1818.7996126775067</v>
      </c>
      <c r="X6" s="49">
        <f t="shared" si="5"/>
        <v>1855.1756049310568</v>
      </c>
      <c r="Y6" s="49">
        <f t="shared" si="5"/>
        <v>1892.279117029678</v>
      </c>
      <c r="Z6" s="49">
        <f t="shared" si="5"/>
        <v>1930.1246993702716</v>
      </c>
      <c r="AA6" s="49">
        <f t="shared" si="5"/>
        <v>1968.7271933576772</v>
      </c>
      <c r="AB6" s="49">
        <f t="shared" si="5"/>
        <v>2008.1017372248307</v>
      </c>
      <c r="AC6" s="54"/>
    </row>
    <row r="7" spans="1:29">
      <c r="A7" s="59" t="s">
        <v>83</v>
      </c>
      <c r="B7" s="49">
        <v>400</v>
      </c>
      <c r="C7" s="49">
        <f t="shared" si="4"/>
        <v>408</v>
      </c>
      <c r="D7" s="49">
        <f t="shared" si="5"/>
        <v>416.16</v>
      </c>
      <c r="E7" s="49">
        <f t="shared" si="5"/>
        <v>424.48320000000001</v>
      </c>
      <c r="F7" s="49">
        <f t="shared" si="5"/>
        <v>432.97286400000002</v>
      </c>
      <c r="G7" s="49">
        <f t="shared" si="5"/>
        <v>441.63232128000004</v>
      </c>
      <c r="H7" s="49">
        <f t="shared" si="5"/>
        <v>450.46496770560003</v>
      </c>
      <c r="I7" s="49">
        <f t="shared" si="5"/>
        <v>459.47426705971202</v>
      </c>
      <c r="J7" s="49">
        <f t="shared" si="5"/>
        <v>468.66375240090628</v>
      </c>
      <c r="K7" s="49">
        <f t="shared" si="5"/>
        <v>478.03702744892439</v>
      </c>
      <c r="L7" s="49">
        <f t="shared" si="5"/>
        <v>487.59776799790291</v>
      </c>
      <c r="M7" s="49">
        <f t="shared" si="5"/>
        <v>497.34972335786097</v>
      </c>
      <c r="N7" s="49">
        <f t="shared" si="5"/>
        <v>507.29671782501822</v>
      </c>
      <c r="O7" s="49">
        <f t="shared" si="5"/>
        <v>517.44265218151861</v>
      </c>
      <c r="P7" s="49">
        <f t="shared" si="5"/>
        <v>527.79150522514897</v>
      </c>
      <c r="Q7" s="49">
        <f t="shared" si="5"/>
        <v>538.34733532965197</v>
      </c>
      <c r="R7" s="49">
        <f t="shared" si="5"/>
        <v>549.11428203624507</v>
      </c>
      <c r="S7" s="49">
        <f t="shared" si="5"/>
        <v>560.09656767697004</v>
      </c>
      <c r="T7" s="49">
        <f t="shared" si="5"/>
        <v>571.29849903050945</v>
      </c>
      <c r="U7" s="49">
        <f t="shared" si="5"/>
        <v>582.7244690111196</v>
      </c>
      <c r="V7" s="49">
        <f t="shared" si="5"/>
        <v>594.37895839134205</v>
      </c>
      <c r="W7" s="49">
        <f t="shared" si="5"/>
        <v>606.26653755916891</v>
      </c>
      <c r="X7" s="49">
        <f t="shared" si="5"/>
        <v>618.39186831035227</v>
      </c>
      <c r="Y7" s="49">
        <f t="shared" si="5"/>
        <v>630.75970567655929</v>
      </c>
      <c r="Z7" s="49">
        <f t="shared" si="5"/>
        <v>643.37489979009047</v>
      </c>
      <c r="AA7" s="49">
        <f t="shared" si="5"/>
        <v>656.24239778589231</v>
      </c>
      <c r="AB7" s="49">
        <f t="shared" si="5"/>
        <v>669.36724574161019</v>
      </c>
      <c r="AC7" s="54"/>
    </row>
    <row r="8" spans="1:29">
      <c r="A8" s="59" t="s">
        <v>84</v>
      </c>
      <c r="B8" s="49">
        <v>900</v>
      </c>
      <c r="C8" s="49">
        <f t="shared" si="4"/>
        <v>918</v>
      </c>
      <c r="D8" s="49">
        <f t="shared" si="5"/>
        <v>936.36</v>
      </c>
      <c r="E8" s="49">
        <f t="shared" si="5"/>
        <v>955.08720000000005</v>
      </c>
      <c r="F8" s="49">
        <f t="shared" si="5"/>
        <v>974.18894400000011</v>
      </c>
      <c r="G8" s="49">
        <f t="shared" si="5"/>
        <v>993.67272288000015</v>
      </c>
      <c r="H8" s="49">
        <f t="shared" si="5"/>
        <v>1013.5461773376002</v>
      </c>
      <c r="I8" s="49">
        <f t="shared" si="5"/>
        <v>1033.8171008843522</v>
      </c>
      <c r="J8" s="49">
        <f t="shared" si="5"/>
        <v>1054.4934429020393</v>
      </c>
      <c r="K8" s="49">
        <f t="shared" si="5"/>
        <v>1075.5833117600801</v>
      </c>
      <c r="L8" s="49">
        <f t="shared" si="5"/>
        <v>1097.0949779952816</v>
      </c>
      <c r="M8" s="49">
        <f t="shared" si="5"/>
        <v>1119.0368775551872</v>
      </c>
      <c r="N8" s="49">
        <f t="shared" si="5"/>
        <v>1141.4176151062909</v>
      </c>
      <c r="O8" s="49">
        <f t="shared" si="5"/>
        <v>1164.2459674084168</v>
      </c>
      <c r="P8" s="49">
        <f t="shared" si="5"/>
        <v>1187.5308867565852</v>
      </c>
      <c r="Q8" s="49">
        <f t="shared" si="5"/>
        <v>1211.281504491717</v>
      </c>
      <c r="R8" s="49">
        <f t="shared" si="5"/>
        <v>1235.5071345815513</v>
      </c>
      <c r="S8" s="49">
        <f t="shared" si="5"/>
        <v>1260.2172772731824</v>
      </c>
      <c r="T8" s="49">
        <f t="shared" si="5"/>
        <v>1285.421622818646</v>
      </c>
      <c r="U8" s="49">
        <f t="shared" si="5"/>
        <v>1311.130055275019</v>
      </c>
      <c r="V8" s="49">
        <f t="shared" si="5"/>
        <v>1337.3526563805194</v>
      </c>
      <c r="W8" s="49">
        <f t="shared" si="5"/>
        <v>1364.0997095081298</v>
      </c>
      <c r="X8" s="49">
        <f t="shared" si="5"/>
        <v>1391.3817036982923</v>
      </c>
      <c r="Y8" s="49">
        <f t="shared" si="5"/>
        <v>1419.2093377722581</v>
      </c>
      <c r="Z8" s="49">
        <f t="shared" si="5"/>
        <v>1447.5935245277033</v>
      </c>
      <c r="AA8" s="49">
        <f t="shared" si="5"/>
        <v>1476.5453950182573</v>
      </c>
      <c r="AB8" s="49">
        <f t="shared" si="5"/>
        <v>1506.0763029186226</v>
      </c>
      <c r="AC8" s="54"/>
    </row>
    <row r="9" spans="1:29">
      <c r="A9" s="59" t="s">
        <v>85</v>
      </c>
      <c r="B9" s="49">
        <v>2400</v>
      </c>
      <c r="C9" s="49">
        <f t="shared" si="4"/>
        <v>2448</v>
      </c>
      <c r="D9" s="49">
        <f t="shared" si="5"/>
        <v>2496.96</v>
      </c>
      <c r="E9" s="49">
        <f t="shared" si="5"/>
        <v>2546.8992000000003</v>
      </c>
      <c r="F9" s="49">
        <f t="shared" si="5"/>
        <v>2597.8371840000004</v>
      </c>
      <c r="G9" s="49">
        <f t="shared" si="5"/>
        <v>2649.7939276800007</v>
      </c>
      <c r="H9" s="49">
        <f t="shared" si="5"/>
        <v>2702.7898062336008</v>
      </c>
      <c r="I9" s="49">
        <f t="shared" si="5"/>
        <v>2756.845602358273</v>
      </c>
      <c r="J9" s="49">
        <f t="shared" si="5"/>
        <v>2811.9825144054385</v>
      </c>
      <c r="K9" s="49">
        <f t="shared" si="5"/>
        <v>2868.2221646935473</v>
      </c>
      <c r="L9" s="49">
        <f t="shared" si="5"/>
        <v>2925.5866079874181</v>
      </c>
      <c r="M9" s="49">
        <f t="shared" si="5"/>
        <v>2984.0983401471667</v>
      </c>
      <c r="N9" s="49">
        <f t="shared" si="5"/>
        <v>3043.7803069501101</v>
      </c>
      <c r="O9" s="49">
        <f t="shared" si="5"/>
        <v>3104.6559130891123</v>
      </c>
      <c r="P9" s="49">
        <f t="shared" si="5"/>
        <v>3166.7490313508947</v>
      </c>
      <c r="Q9" s="49">
        <f t="shared" si="5"/>
        <v>3230.0840119779127</v>
      </c>
      <c r="R9" s="49">
        <f t="shared" si="5"/>
        <v>3294.6856922174711</v>
      </c>
      <c r="S9" s="49">
        <f t="shared" si="5"/>
        <v>3360.5794060618205</v>
      </c>
      <c r="T9" s="49">
        <f t="shared" si="5"/>
        <v>3427.7909941830571</v>
      </c>
      <c r="U9" s="49">
        <f t="shared" si="5"/>
        <v>3496.3468140667183</v>
      </c>
      <c r="V9" s="49">
        <f t="shared" si="5"/>
        <v>3566.2737503480525</v>
      </c>
      <c r="W9" s="49">
        <f t="shared" si="5"/>
        <v>3637.5992253550135</v>
      </c>
      <c r="X9" s="49">
        <f t="shared" si="5"/>
        <v>3710.3512098621136</v>
      </c>
      <c r="Y9" s="49">
        <f t="shared" si="5"/>
        <v>3784.558234059356</v>
      </c>
      <c r="Z9" s="49">
        <f t="shared" si="5"/>
        <v>3860.2493987405433</v>
      </c>
      <c r="AA9" s="49">
        <f t="shared" si="5"/>
        <v>3937.4543867153543</v>
      </c>
      <c r="AB9" s="49">
        <f t="shared" si="5"/>
        <v>4016.2034744496614</v>
      </c>
      <c r="AC9" s="54"/>
    </row>
    <row r="10" spans="1:29">
      <c r="A10" s="59" t="s">
        <v>86</v>
      </c>
      <c r="B10" s="49">
        <v>300</v>
      </c>
      <c r="C10" s="49">
        <f t="shared" si="4"/>
        <v>306</v>
      </c>
      <c r="D10" s="49">
        <f t="shared" si="5"/>
        <v>312.12</v>
      </c>
      <c r="E10" s="49">
        <f t="shared" si="5"/>
        <v>318.36240000000004</v>
      </c>
      <c r="F10" s="49">
        <f t="shared" si="5"/>
        <v>324.72964800000005</v>
      </c>
      <c r="G10" s="49">
        <f t="shared" si="5"/>
        <v>331.22424096000009</v>
      </c>
      <c r="H10" s="49">
        <f t="shared" si="5"/>
        <v>337.84872577920009</v>
      </c>
      <c r="I10" s="49">
        <f t="shared" si="5"/>
        <v>344.60570029478413</v>
      </c>
      <c r="J10" s="49">
        <f t="shared" si="5"/>
        <v>351.49781430067981</v>
      </c>
      <c r="K10" s="49">
        <f t="shared" si="5"/>
        <v>358.52777058669341</v>
      </c>
      <c r="L10" s="49">
        <f t="shared" si="5"/>
        <v>365.69832599842726</v>
      </c>
      <c r="M10" s="49">
        <f t="shared" si="5"/>
        <v>373.01229251839584</v>
      </c>
      <c r="N10" s="49">
        <f t="shared" si="5"/>
        <v>380.47253836876376</v>
      </c>
      <c r="O10" s="49">
        <f t="shared" si="5"/>
        <v>388.08198913613904</v>
      </c>
      <c r="P10" s="49">
        <f t="shared" si="5"/>
        <v>395.84362891886184</v>
      </c>
      <c r="Q10" s="49">
        <f t="shared" si="5"/>
        <v>403.76050149723909</v>
      </c>
      <c r="R10" s="49">
        <f t="shared" si="5"/>
        <v>411.83571152718389</v>
      </c>
      <c r="S10" s="49">
        <f t="shared" si="5"/>
        <v>420.07242575772756</v>
      </c>
      <c r="T10" s="49">
        <f t="shared" si="5"/>
        <v>428.47387427288214</v>
      </c>
      <c r="U10" s="49">
        <f t="shared" si="5"/>
        <v>437.04335175833978</v>
      </c>
      <c r="V10" s="49">
        <f t="shared" si="5"/>
        <v>445.78421879350657</v>
      </c>
      <c r="W10" s="49">
        <f t="shared" si="5"/>
        <v>454.69990316937668</v>
      </c>
      <c r="X10" s="49">
        <f t="shared" si="5"/>
        <v>463.7939012327642</v>
      </c>
      <c r="Y10" s="49">
        <f t="shared" si="5"/>
        <v>473.0697792574195</v>
      </c>
      <c r="Z10" s="49">
        <f t="shared" si="5"/>
        <v>482.53117484256791</v>
      </c>
      <c r="AA10" s="49">
        <f t="shared" si="5"/>
        <v>492.18179833941929</v>
      </c>
      <c r="AB10" s="49">
        <f t="shared" si="5"/>
        <v>502.02543430620767</v>
      </c>
      <c r="AC10" s="54"/>
    </row>
    <row r="11" spans="1:29">
      <c r="A11" s="59" t="s">
        <v>87</v>
      </c>
      <c r="B11" s="49">
        <v>2100</v>
      </c>
      <c r="C11" s="49">
        <f t="shared" si="4"/>
        <v>2142</v>
      </c>
      <c r="D11" s="49">
        <f t="shared" si="5"/>
        <v>2184.84</v>
      </c>
      <c r="E11" s="49">
        <f t="shared" si="5"/>
        <v>2228.5368000000003</v>
      </c>
      <c r="F11" s="49">
        <f t="shared" si="5"/>
        <v>2273.1075360000004</v>
      </c>
      <c r="G11" s="49">
        <f t="shared" si="5"/>
        <v>2318.5696867200004</v>
      </c>
      <c r="H11" s="49">
        <f t="shared" si="5"/>
        <v>2364.9410804544004</v>
      </c>
      <c r="I11" s="49">
        <f t="shared" si="5"/>
        <v>2412.2399020634884</v>
      </c>
      <c r="J11" s="49">
        <f t="shared" si="5"/>
        <v>2460.4847001047583</v>
      </c>
      <c r="K11" s="49">
        <f t="shared" si="5"/>
        <v>2509.6943941068535</v>
      </c>
      <c r="L11" s="49">
        <f t="shared" si="5"/>
        <v>2559.8882819889905</v>
      </c>
      <c r="M11" s="49">
        <f t="shared" si="5"/>
        <v>2611.0860476287703</v>
      </c>
      <c r="N11" s="49">
        <f t="shared" si="5"/>
        <v>2663.307768581346</v>
      </c>
      <c r="O11" s="49">
        <f t="shared" si="5"/>
        <v>2716.573923952973</v>
      </c>
      <c r="P11" s="49">
        <f t="shared" si="5"/>
        <v>2770.9054024320326</v>
      </c>
      <c r="Q11" s="49">
        <f t="shared" si="5"/>
        <v>2826.3235104806731</v>
      </c>
      <c r="R11" s="49">
        <f t="shared" si="5"/>
        <v>2882.8499806902864</v>
      </c>
      <c r="S11" s="49">
        <f t="shared" si="5"/>
        <v>2940.5069803040924</v>
      </c>
      <c r="T11" s="49">
        <f t="shared" si="5"/>
        <v>2999.3171199101744</v>
      </c>
      <c r="U11" s="49">
        <f t="shared" si="5"/>
        <v>3059.3034623083781</v>
      </c>
      <c r="V11" s="49">
        <f t="shared" si="5"/>
        <v>3120.4895315545459</v>
      </c>
      <c r="W11" s="49">
        <f t="shared" si="5"/>
        <v>3182.8993221856367</v>
      </c>
      <c r="X11" s="49">
        <f t="shared" si="5"/>
        <v>3246.5573086293493</v>
      </c>
      <c r="Y11" s="49">
        <f t="shared" si="5"/>
        <v>3311.4884548019363</v>
      </c>
      <c r="Z11" s="49">
        <f t="shared" si="5"/>
        <v>3377.7182238979749</v>
      </c>
      <c r="AA11" s="49">
        <f t="shared" si="5"/>
        <v>3445.2725883759344</v>
      </c>
      <c r="AB11" s="49">
        <f t="shared" si="5"/>
        <v>3514.178040143453</v>
      </c>
      <c r="AC11" s="54"/>
    </row>
    <row r="12" spans="1:29">
      <c r="A12" s="59" t="s">
        <v>88</v>
      </c>
      <c r="B12" s="49">
        <v>1500</v>
      </c>
      <c r="C12" s="49">
        <f t="shared" si="4"/>
        <v>1530</v>
      </c>
      <c r="D12" s="49">
        <f t="shared" si="5"/>
        <v>1560.6000000000001</v>
      </c>
      <c r="E12" s="49">
        <f t="shared" si="5"/>
        <v>1591.8120000000001</v>
      </c>
      <c r="F12" s="49">
        <f t="shared" si="5"/>
        <v>1623.6482400000002</v>
      </c>
      <c r="G12" s="49">
        <f t="shared" si="5"/>
        <v>1656.1212048000002</v>
      </c>
      <c r="H12" s="49">
        <f t="shared" si="5"/>
        <v>1689.2436288960002</v>
      </c>
      <c r="I12" s="49">
        <f t="shared" si="5"/>
        <v>1723.0285014739202</v>
      </c>
      <c r="J12" s="49">
        <f t="shared" si="5"/>
        <v>1757.4890715033987</v>
      </c>
      <c r="K12" s="49">
        <f t="shared" si="5"/>
        <v>1792.6388529334668</v>
      </c>
      <c r="L12" s="49">
        <f t="shared" si="5"/>
        <v>1828.491629992136</v>
      </c>
      <c r="M12" s="49">
        <f t="shared" si="5"/>
        <v>1865.0614625919789</v>
      </c>
      <c r="N12" s="49">
        <f t="shared" si="5"/>
        <v>1902.3626918438185</v>
      </c>
      <c r="O12" s="49">
        <f t="shared" si="5"/>
        <v>1940.409945680695</v>
      </c>
      <c r="P12" s="49">
        <f t="shared" si="5"/>
        <v>1979.218144594309</v>
      </c>
      <c r="Q12" s="49">
        <f t="shared" si="5"/>
        <v>2018.8025074861953</v>
      </c>
      <c r="R12" s="49">
        <f t="shared" si="5"/>
        <v>2059.1785576359193</v>
      </c>
      <c r="S12" s="49">
        <f t="shared" si="5"/>
        <v>2100.3621287886376</v>
      </c>
      <c r="T12" s="49">
        <f t="shared" si="5"/>
        <v>2142.3693713644102</v>
      </c>
      <c r="U12" s="49">
        <f t="shared" si="5"/>
        <v>2185.2167587916983</v>
      </c>
      <c r="V12" s="49">
        <f t="shared" si="5"/>
        <v>2228.9210939675322</v>
      </c>
      <c r="W12" s="49">
        <f t="shared" si="5"/>
        <v>2273.4995158468828</v>
      </c>
      <c r="X12" s="49">
        <f t="shared" si="5"/>
        <v>2318.9695061638204</v>
      </c>
      <c r="Y12" s="49">
        <f t="shared" si="5"/>
        <v>2365.348896287097</v>
      </c>
      <c r="Z12" s="49">
        <f t="shared" si="5"/>
        <v>2412.6558742128391</v>
      </c>
      <c r="AA12" s="49">
        <f t="shared" si="5"/>
        <v>2460.9089916970961</v>
      </c>
      <c r="AB12" s="49">
        <f t="shared" si="5"/>
        <v>2510.1271715310381</v>
      </c>
      <c r="AC12" s="54"/>
    </row>
    <row r="13" spans="1:29">
      <c r="A13" s="59" t="s">
        <v>89</v>
      </c>
      <c r="B13" s="49">
        <v>600</v>
      </c>
      <c r="C13" s="49">
        <f t="shared" si="4"/>
        <v>612</v>
      </c>
      <c r="D13" s="49">
        <f t="shared" si="5"/>
        <v>624.24</v>
      </c>
      <c r="E13" s="49">
        <f t="shared" si="5"/>
        <v>636.72480000000007</v>
      </c>
      <c r="F13" s="49">
        <f t="shared" si="5"/>
        <v>649.45929600000011</v>
      </c>
      <c r="G13" s="49">
        <f t="shared" si="5"/>
        <v>662.44848192000018</v>
      </c>
      <c r="H13" s="49">
        <f t="shared" si="5"/>
        <v>675.69745155840019</v>
      </c>
      <c r="I13" s="49">
        <f t="shared" si="5"/>
        <v>689.21140058956826</v>
      </c>
      <c r="J13" s="49">
        <f t="shared" si="5"/>
        <v>702.99562860135961</v>
      </c>
      <c r="K13" s="49">
        <f t="shared" si="5"/>
        <v>717.05554117338681</v>
      </c>
      <c r="L13" s="49">
        <f t="shared" si="5"/>
        <v>731.39665199685453</v>
      </c>
      <c r="M13" s="49">
        <f t="shared" si="5"/>
        <v>746.02458503679168</v>
      </c>
      <c r="N13" s="49">
        <f t="shared" si="5"/>
        <v>760.94507673752753</v>
      </c>
      <c r="O13" s="49">
        <f t="shared" si="5"/>
        <v>776.16397827227809</v>
      </c>
      <c r="P13" s="49">
        <f t="shared" si="5"/>
        <v>791.68725783772368</v>
      </c>
      <c r="Q13" s="49">
        <f t="shared" si="5"/>
        <v>807.52100299447818</v>
      </c>
      <c r="R13" s="49">
        <f t="shared" si="5"/>
        <v>823.67142305436778</v>
      </c>
      <c r="S13" s="49">
        <f t="shared" si="5"/>
        <v>840.14485151545512</v>
      </c>
      <c r="T13" s="49">
        <f t="shared" si="5"/>
        <v>856.94774854576428</v>
      </c>
      <c r="U13" s="49">
        <f t="shared" si="5"/>
        <v>874.08670351667956</v>
      </c>
      <c r="V13" s="49">
        <f t="shared" si="5"/>
        <v>891.56843758701314</v>
      </c>
      <c r="W13" s="49">
        <f t="shared" si="5"/>
        <v>909.39980633875336</v>
      </c>
      <c r="X13" s="49">
        <f t="shared" si="5"/>
        <v>927.5878024655284</v>
      </c>
      <c r="Y13" s="49">
        <f t="shared" si="5"/>
        <v>946.139558514839</v>
      </c>
      <c r="Z13" s="49">
        <f t="shared" si="5"/>
        <v>965.06234968513581</v>
      </c>
      <c r="AA13" s="49">
        <f t="shared" si="5"/>
        <v>984.36359667883858</v>
      </c>
      <c r="AB13" s="49">
        <f t="shared" si="5"/>
        <v>1004.0508686124153</v>
      </c>
      <c r="AC13" s="54"/>
    </row>
    <row r="14" spans="1:29">
      <c r="A14" s="59" t="s">
        <v>90</v>
      </c>
      <c r="B14" s="49">
        <v>350</v>
      </c>
      <c r="C14" s="49">
        <f t="shared" si="4"/>
        <v>357</v>
      </c>
      <c r="D14" s="49">
        <f t="shared" si="5"/>
        <v>364.14</v>
      </c>
      <c r="E14" s="49">
        <f t="shared" si="5"/>
        <v>371.4228</v>
      </c>
      <c r="F14" s="49">
        <f t="shared" si="5"/>
        <v>378.85125599999998</v>
      </c>
      <c r="G14" s="49">
        <f t="shared" si="5"/>
        <v>386.42828112000001</v>
      </c>
      <c r="H14" s="49">
        <f t="shared" si="5"/>
        <v>394.15684674240003</v>
      </c>
      <c r="I14" s="49">
        <f t="shared" si="5"/>
        <v>402.03998367724802</v>
      </c>
      <c r="J14" s="49">
        <f t="shared" si="5"/>
        <v>410.08078335079301</v>
      </c>
      <c r="K14" s="49">
        <f t="shared" si="5"/>
        <v>418.28239901780887</v>
      </c>
      <c r="L14" s="49">
        <f t="shared" si="5"/>
        <v>426.64804699816506</v>
      </c>
      <c r="M14" s="49">
        <f t="shared" si="5"/>
        <v>435.18100793812835</v>
      </c>
      <c r="N14" s="49">
        <f t="shared" si="5"/>
        <v>443.88462809689094</v>
      </c>
      <c r="O14" s="49">
        <f t="shared" si="5"/>
        <v>452.76232065882874</v>
      </c>
      <c r="P14" s="49">
        <f t="shared" si="5"/>
        <v>461.81756707200532</v>
      </c>
      <c r="Q14" s="49">
        <f t="shared" si="5"/>
        <v>471.05391841344544</v>
      </c>
      <c r="R14" s="49">
        <f t="shared" si="5"/>
        <v>480.47499678171437</v>
      </c>
      <c r="S14" s="49">
        <f t="shared" si="5"/>
        <v>490.08449671734866</v>
      </c>
      <c r="T14" s="49">
        <f t="shared" si="5"/>
        <v>499.88618665169565</v>
      </c>
      <c r="U14" s="49">
        <f t="shared" si="5"/>
        <v>509.88391038472957</v>
      </c>
      <c r="V14" s="49">
        <f t="shared" si="5"/>
        <v>520.08158859242417</v>
      </c>
      <c r="W14" s="49">
        <f t="shared" si="5"/>
        <v>530.48322036427271</v>
      </c>
      <c r="X14" s="49">
        <f t="shared" si="5"/>
        <v>541.09288477155815</v>
      </c>
      <c r="Y14" s="49">
        <f t="shared" si="5"/>
        <v>551.91474246698931</v>
      </c>
      <c r="Z14" s="49">
        <f t="shared" si="5"/>
        <v>562.95303731632907</v>
      </c>
      <c r="AA14" s="49">
        <f t="shared" si="5"/>
        <v>574.21209806265563</v>
      </c>
      <c r="AB14" s="49">
        <f t="shared" si="5"/>
        <v>585.69634002390876</v>
      </c>
      <c r="AC14" s="54"/>
    </row>
    <row r="15" spans="1:29">
      <c r="A15" s="59" t="s">
        <v>91</v>
      </c>
      <c r="B15" s="49">
        <v>500</v>
      </c>
      <c r="C15" s="49">
        <f t="shared" si="4"/>
        <v>510</v>
      </c>
      <c r="D15" s="49">
        <f t="shared" si="5"/>
        <v>520.20000000000005</v>
      </c>
      <c r="E15" s="49">
        <f t="shared" si="5"/>
        <v>530.60400000000004</v>
      </c>
      <c r="F15" s="49">
        <f t="shared" si="5"/>
        <v>541.21608000000003</v>
      </c>
      <c r="G15" s="49">
        <f t="shared" si="5"/>
        <v>552.0404016</v>
      </c>
      <c r="H15" s="49">
        <f t="shared" ref="D15:AB25" si="6">SUM(G15*1.02)</f>
        <v>563.08120963199997</v>
      </c>
      <c r="I15" s="49">
        <f t="shared" si="6"/>
        <v>574.34283382464002</v>
      </c>
      <c r="J15" s="49">
        <f t="shared" si="6"/>
        <v>585.82969050113286</v>
      </c>
      <c r="K15" s="49">
        <f t="shared" si="6"/>
        <v>597.54628431115555</v>
      </c>
      <c r="L15" s="49">
        <f t="shared" si="6"/>
        <v>609.49720999737872</v>
      </c>
      <c r="M15" s="49">
        <f t="shared" si="6"/>
        <v>621.68715419732632</v>
      </c>
      <c r="N15" s="49">
        <f t="shared" si="6"/>
        <v>634.12089728127285</v>
      </c>
      <c r="O15" s="49">
        <f t="shared" si="6"/>
        <v>646.80331522689835</v>
      </c>
      <c r="P15" s="49">
        <f t="shared" si="6"/>
        <v>659.73938153143638</v>
      </c>
      <c r="Q15" s="49">
        <f t="shared" si="6"/>
        <v>672.93416916206513</v>
      </c>
      <c r="R15" s="49">
        <f t="shared" si="6"/>
        <v>686.39285254530648</v>
      </c>
      <c r="S15" s="49">
        <f t="shared" si="6"/>
        <v>700.12070959621258</v>
      </c>
      <c r="T15" s="49">
        <f t="shared" si="6"/>
        <v>714.12312378813681</v>
      </c>
      <c r="U15" s="49">
        <f t="shared" si="6"/>
        <v>728.40558626389952</v>
      </c>
      <c r="V15" s="49">
        <f t="shared" si="6"/>
        <v>742.97369798917748</v>
      </c>
      <c r="W15" s="49">
        <f t="shared" si="6"/>
        <v>757.83317194896108</v>
      </c>
      <c r="X15" s="49">
        <f t="shared" si="6"/>
        <v>772.98983538794027</v>
      </c>
      <c r="Y15" s="49">
        <f t="shared" si="6"/>
        <v>788.44963209569914</v>
      </c>
      <c r="Z15" s="49">
        <f t="shared" si="6"/>
        <v>804.21862473761314</v>
      </c>
      <c r="AA15" s="49">
        <f t="shared" si="6"/>
        <v>820.30299723236544</v>
      </c>
      <c r="AB15" s="49">
        <f t="shared" si="6"/>
        <v>836.70905717701271</v>
      </c>
      <c r="AC15" s="54"/>
    </row>
    <row r="16" spans="1:29">
      <c r="A16" s="59" t="s">
        <v>92</v>
      </c>
      <c r="B16" s="49">
        <v>1000</v>
      </c>
      <c r="C16" s="49">
        <f t="shared" si="4"/>
        <v>1020</v>
      </c>
      <c r="D16" s="49">
        <f t="shared" si="6"/>
        <v>1040.4000000000001</v>
      </c>
      <c r="E16" s="49">
        <f t="shared" si="6"/>
        <v>1061.2080000000001</v>
      </c>
      <c r="F16" s="49">
        <f t="shared" si="6"/>
        <v>1082.4321600000001</v>
      </c>
      <c r="G16" s="49">
        <f t="shared" si="6"/>
        <v>1104.0808032</v>
      </c>
      <c r="H16" s="49">
        <f t="shared" si="6"/>
        <v>1126.1624192639999</v>
      </c>
      <c r="I16" s="49">
        <f t="shared" si="6"/>
        <v>1148.68566764928</v>
      </c>
      <c r="J16" s="49">
        <f t="shared" si="6"/>
        <v>1171.6593810022657</v>
      </c>
      <c r="K16" s="49">
        <f t="shared" si="6"/>
        <v>1195.0925686223111</v>
      </c>
      <c r="L16" s="49">
        <f t="shared" si="6"/>
        <v>1218.9944199947574</v>
      </c>
      <c r="M16" s="49">
        <f t="shared" si="6"/>
        <v>1243.3743083946526</v>
      </c>
      <c r="N16" s="49">
        <f t="shared" si="6"/>
        <v>1268.2417945625457</v>
      </c>
      <c r="O16" s="49">
        <f t="shared" si="6"/>
        <v>1293.6066304537967</v>
      </c>
      <c r="P16" s="49">
        <f t="shared" si="6"/>
        <v>1319.4787630628728</v>
      </c>
      <c r="Q16" s="49">
        <f t="shared" si="6"/>
        <v>1345.8683383241303</v>
      </c>
      <c r="R16" s="49">
        <f t="shared" si="6"/>
        <v>1372.785705090613</v>
      </c>
      <c r="S16" s="49">
        <f t="shared" si="6"/>
        <v>1400.2414191924252</v>
      </c>
      <c r="T16" s="49">
        <f t="shared" si="6"/>
        <v>1428.2462475762736</v>
      </c>
      <c r="U16" s="49">
        <f t="shared" si="6"/>
        <v>1456.811172527799</v>
      </c>
      <c r="V16" s="49">
        <f t="shared" si="6"/>
        <v>1485.947395978355</v>
      </c>
      <c r="W16" s="49">
        <f t="shared" si="6"/>
        <v>1515.6663438979222</v>
      </c>
      <c r="X16" s="49">
        <f t="shared" si="6"/>
        <v>1545.9796707758805</v>
      </c>
      <c r="Y16" s="49">
        <f t="shared" si="6"/>
        <v>1576.8992641913983</v>
      </c>
      <c r="Z16" s="49">
        <f t="shared" si="6"/>
        <v>1608.4372494752263</v>
      </c>
      <c r="AA16" s="49">
        <f t="shared" si="6"/>
        <v>1640.6059944647309</v>
      </c>
      <c r="AB16" s="49">
        <f t="shared" si="6"/>
        <v>1673.4181143540254</v>
      </c>
      <c r="AC16" s="54"/>
    </row>
    <row r="17" spans="1:29">
      <c r="A17" s="59" t="s">
        <v>93</v>
      </c>
      <c r="B17" s="49">
        <v>5000</v>
      </c>
      <c r="C17" s="49">
        <f t="shared" si="4"/>
        <v>5100</v>
      </c>
      <c r="D17" s="49">
        <f t="shared" si="6"/>
        <v>5202</v>
      </c>
      <c r="E17" s="49">
        <f t="shared" si="6"/>
        <v>5306.04</v>
      </c>
      <c r="F17" s="49">
        <f t="shared" si="6"/>
        <v>5412.1607999999997</v>
      </c>
      <c r="G17" s="49">
        <f t="shared" si="6"/>
        <v>5520.4040159999995</v>
      </c>
      <c r="H17" s="49">
        <f t="shared" si="6"/>
        <v>5630.8120963199999</v>
      </c>
      <c r="I17" s="49">
        <f t="shared" si="6"/>
        <v>5743.4283382464</v>
      </c>
      <c r="J17" s="49">
        <f t="shared" si="6"/>
        <v>5858.2969050113279</v>
      </c>
      <c r="K17" s="49">
        <f t="shared" si="6"/>
        <v>5975.4628431115543</v>
      </c>
      <c r="L17" s="49">
        <f t="shared" si="6"/>
        <v>6094.9720999737856</v>
      </c>
      <c r="M17" s="49">
        <f t="shared" si="6"/>
        <v>6216.8715419732616</v>
      </c>
      <c r="N17" s="49">
        <f t="shared" si="6"/>
        <v>6341.2089728127266</v>
      </c>
      <c r="O17" s="49">
        <f t="shared" si="6"/>
        <v>6468.0331522689812</v>
      </c>
      <c r="P17" s="49">
        <f t="shared" si="6"/>
        <v>6597.3938153143608</v>
      </c>
      <c r="Q17" s="49">
        <f t="shared" si="6"/>
        <v>6729.3416916206479</v>
      </c>
      <c r="R17" s="49">
        <f t="shared" si="6"/>
        <v>6863.9285254530614</v>
      </c>
      <c r="S17" s="49">
        <f t="shared" si="6"/>
        <v>7001.2070959621224</v>
      </c>
      <c r="T17" s="49">
        <f t="shared" si="6"/>
        <v>7141.2312378813649</v>
      </c>
      <c r="U17" s="49">
        <f t="shared" si="6"/>
        <v>7284.055862638992</v>
      </c>
      <c r="V17" s="49">
        <f t="shared" si="6"/>
        <v>7429.7369798917716</v>
      </c>
      <c r="W17" s="49">
        <f t="shared" si="6"/>
        <v>7578.3317194896072</v>
      </c>
      <c r="X17" s="49">
        <f t="shared" si="6"/>
        <v>7729.8983538793991</v>
      </c>
      <c r="Y17" s="49">
        <f t="shared" si="6"/>
        <v>7884.4963209569869</v>
      </c>
      <c r="Z17" s="49">
        <f t="shared" si="6"/>
        <v>8042.1862473761266</v>
      </c>
      <c r="AA17" s="49">
        <f t="shared" si="6"/>
        <v>8203.0299723236494</v>
      </c>
      <c r="AB17" s="49">
        <f t="shared" si="6"/>
        <v>8367.0905717701226</v>
      </c>
      <c r="AC17" s="54"/>
    </row>
    <row r="18" spans="1:29">
      <c r="A18" s="59" t="s">
        <v>94</v>
      </c>
      <c r="B18" s="49">
        <v>2500</v>
      </c>
      <c r="C18" s="49">
        <f t="shared" si="4"/>
        <v>2550</v>
      </c>
      <c r="D18" s="49">
        <f t="shared" si="6"/>
        <v>2601</v>
      </c>
      <c r="E18" s="49">
        <f t="shared" si="6"/>
        <v>2653.02</v>
      </c>
      <c r="F18" s="49">
        <f t="shared" si="6"/>
        <v>2706.0803999999998</v>
      </c>
      <c r="G18" s="49">
        <f t="shared" si="6"/>
        <v>2760.2020079999998</v>
      </c>
      <c r="H18" s="49">
        <f t="shared" si="6"/>
        <v>2815.40604816</v>
      </c>
      <c r="I18" s="49">
        <f t="shared" si="6"/>
        <v>2871.7141691232</v>
      </c>
      <c r="J18" s="49">
        <f t="shared" si="6"/>
        <v>2929.148452505664</v>
      </c>
      <c r="K18" s="49">
        <f t="shared" si="6"/>
        <v>2987.7314215557772</v>
      </c>
      <c r="L18" s="49">
        <f t="shared" si="6"/>
        <v>3047.4860499868928</v>
      </c>
      <c r="M18" s="49">
        <f t="shared" si="6"/>
        <v>3108.4357709866308</v>
      </c>
      <c r="N18" s="49">
        <f t="shared" si="6"/>
        <v>3170.6044864063633</v>
      </c>
      <c r="O18" s="49">
        <f t="shared" si="6"/>
        <v>3234.0165761344906</v>
      </c>
      <c r="P18" s="49">
        <f t="shared" si="6"/>
        <v>3298.6969076571804</v>
      </c>
      <c r="Q18" s="49">
        <f t="shared" si="6"/>
        <v>3364.670845810324</v>
      </c>
      <c r="R18" s="49">
        <f t="shared" si="6"/>
        <v>3431.9642627265307</v>
      </c>
      <c r="S18" s="49">
        <f t="shared" si="6"/>
        <v>3500.6035479810612</v>
      </c>
      <c r="T18" s="49">
        <f t="shared" si="6"/>
        <v>3570.6156189406825</v>
      </c>
      <c r="U18" s="49">
        <f t="shared" si="6"/>
        <v>3642.027931319496</v>
      </c>
      <c r="V18" s="49">
        <f t="shared" si="6"/>
        <v>3714.8684899458858</v>
      </c>
      <c r="W18" s="49">
        <f t="shared" si="6"/>
        <v>3789.1658597448036</v>
      </c>
      <c r="X18" s="49">
        <f t="shared" si="6"/>
        <v>3864.9491769396996</v>
      </c>
      <c r="Y18" s="49">
        <f t="shared" si="6"/>
        <v>3942.2481604784934</v>
      </c>
      <c r="Z18" s="49">
        <f t="shared" si="6"/>
        <v>4021.0931236880633</v>
      </c>
      <c r="AA18" s="49">
        <f t="shared" si="6"/>
        <v>4101.5149861618247</v>
      </c>
      <c r="AB18" s="49">
        <f t="shared" si="6"/>
        <v>4183.5452858850613</v>
      </c>
      <c r="AC18" s="54"/>
    </row>
    <row r="19" spans="1:29">
      <c r="A19" s="59" t="s">
        <v>95</v>
      </c>
      <c r="B19" s="49">
        <v>8000</v>
      </c>
      <c r="C19" s="49">
        <f t="shared" si="4"/>
        <v>8160</v>
      </c>
      <c r="D19" s="49">
        <f t="shared" si="6"/>
        <v>8323.2000000000007</v>
      </c>
      <c r="E19" s="49">
        <f t="shared" si="6"/>
        <v>8489.6640000000007</v>
      </c>
      <c r="F19" s="49">
        <f t="shared" si="6"/>
        <v>8659.4572800000005</v>
      </c>
      <c r="G19" s="49">
        <f t="shared" si="6"/>
        <v>8832.6464255999999</v>
      </c>
      <c r="H19" s="49">
        <f t="shared" si="6"/>
        <v>9009.2993541119995</v>
      </c>
      <c r="I19" s="49">
        <f t="shared" si="6"/>
        <v>9189.4853411942404</v>
      </c>
      <c r="J19" s="49">
        <f t="shared" si="6"/>
        <v>9373.2750480181257</v>
      </c>
      <c r="K19" s="49">
        <f t="shared" si="6"/>
        <v>9560.7405489784887</v>
      </c>
      <c r="L19" s="49">
        <f t="shared" si="6"/>
        <v>9751.9553599580595</v>
      </c>
      <c r="M19" s="49">
        <f t="shared" si="6"/>
        <v>9946.9944671572212</v>
      </c>
      <c r="N19" s="49">
        <f t="shared" si="6"/>
        <v>10145.934356500366</v>
      </c>
      <c r="O19" s="49">
        <f t="shared" si="6"/>
        <v>10348.853043630374</v>
      </c>
      <c r="P19" s="49">
        <f t="shared" si="6"/>
        <v>10555.830104502982</v>
      </c>
      <c r="Q19" s="49">
        <f t="shared" si="6"/>
        <v>10766.946706593042</v>
      </c>
      <c r="R19" s="49">
        <f t="shared" si="6"/>
        <v>10982.285640724904</v>
      </c>
      <c r="S19" s="49">
        <f t="shared" si="6"/>
        <v>11201.931353539401</v>
      </c>
      <c r="T19" s="49">
        <f t="shared" si="6"/>
        <v>11425.969980610189</v>
      </c>
      <c r="U19" s="49">
        <f t="shared" si="6"/>
        <v>11654.489380222392</v>
      </c>
      <c r="V19" s="49">
        <f t="shared" si="6"/>
        <v>11887.57916782684</v>
      </c>
      <c r="W19" s="49">
        <f t="shared" si="6"/>
        <v>12125.330751183377</v>
      </c>
      <c r="X19" s="49">
        <f t="shared" si="6"/>
        <v>12367.837366207044</v>
      </c>
      <c r="Y19" s="49">
        <f t="shared" si="6"/>
        <v>12615.194113531186</v>
      </c>
      <c r="Z19" s="49">
        <f t="shared" si="6"/>
        <v>12867.49799580181</v>
      </c>
      <c r="AA19" s="49">
        <f t="shared" si="6"/>
        <v>13124.847955717847</v>
      </c>
      <c r="AB19" s="49">
        <f t="shared" si="6"/>
        <v>13387.344914832203</v>
      </c>
      <c r="AC19" s="54"/>
    </row>
    <row r="20" spans="1:29">
      <c r="A20" s="59" t="s">
        <v>96</v>
      </c>
      <c r="B20" s="49">
        <v>500</v>
      </c>
      <c r="C20" s="49">
        <f t="shared" si="4"/>
        <v>510</v>
      </c>
      <c r="D20" s="49">
        <f t="shared" si="6"/>
        <v>520.20000000000005</v>
      </c>
      <c r="E20" s="49">
        <f t="shared" si="6"/>
        <v>530.60400000000004</v>
      </c>
      <c r="F20" s="49">
        <f t="shared" si="6"/>
        <v>541.21608000000003</v>
      </c>
      <c r="G20" s="49">
        <f t="shared" si="6"/>
        <v>552.0404016</v>
      </c>
      <c r="H20" s="49">
        <f t="shared" si="6"/>
        <v>563.08120963199997</v>
      </c>
      <c r="I20" s="49">
        <f t="shared" si="6"/>
        <v>574.34283382464002</v>
      </c>
      <c r="J20" s="49">
        <f t="shared" si="6"/>
        <v>585.82969050113286</v>
      </c>
      <c r="K20" s="49">
        <f t="shared" si="6"/>
        <v>597.54628431115555</v>
      </c>
      <c r="L20" s="49">
        <f t="shared" si="6"/>
        <v>609.49720999737872</v>
      </c>
      <c r="M20" s="49">
        <f t="shared" si="6"/>
        <v>621.68715419732632</v>
      </c>
      <c r="N20" s="49">
        <f t="shared" si="6"/>
        <v>634.12089728127285</v>
      </c>
      <c r="O20" s="49">
        <f t="shared" si="6"/>
        <v>646.80331522689835</v>
      </c>
      <c r="P20" s="49">
        <f t="shared" si="6"/>
        <v>659.73938153143638</v>
      </c>
      <c r="Q20" s="49">
        <f t="shared" si="6"/>
        <v>672.93416916206513</v>
      </c>
      <c r="R20" s="49">
        <f t="shared" si="6"/>
        <v>686.39285254530648</v>
      </c>
      <c r="S20" s="49">
        <f t="shared" si="6"/>
        <v>700.12070959621258</v>
      </c>
      <c r="T20" s="49">
        <f t="shared" si="6"/>
        <v>714.12312378813681</v>
      </c>
      <c r="U20" s="49">
        <f t="shared" si="6"/>
        <v>728.40558626389952</v>
      </c>
      <c r="V20" s="49">
        <f t="shared" si="6"/>
        <v>742.97369798917748</v>
      </c>
      <c r="W20" s="49">
        <f t="shared" si="6"/>
        <v>757.83317194896108</v>
      </c>
      <c r="X20" s="49">
        <f t="shared" si="6"/>
        <v>772.98983538794027</v>
      </c>
      <c r="Y20" s="49">
        <f t="shared" si="6"/>
        <v>788.44963209569914</v>
      </c>
      <c r="Z20" s="49">
        <f t="shared" si="6"/>
        <v>804.21862473761314</v>
      </c>
      <c r="AA20" s="49">
        <f t="shared" si="6"/>
        <v>820.30299723236544</v>
      </c>
      <c r="AB20" s="49">
        <f t="shared" si="6"/>
        <v>836.70905717701271</v>
      </c>
      <c r="AC20" s="54"/>
    </row>
    <row r="21" spans="1:29">
      <c r="A21" s="59" t="s">
        <v>97</v>
      </c>
      <c r="B21" s="49">
        <v>1500</v>
      </c>
      <c r="C21" s="49">
        <f t="shared" si="4"/>
        <v>1530</v>
      </c>
      <c r="D21" s="49">
        <f t="shared" si="6"/>
        <v>1560.6000000000001</v>
      </c>
      <c r="E21" s="49">
        <f t="shared" si="6"/>
        <v>1591.8120000000001</v>
      </c>
      <c r="F21" s="49">
        <f t="shared" si="6"/>
        <v>1623.6482400000002</v>
      </c>
      <c r="G21" s="49">
        <f t="shared" si="6"/>
        <v>1656.1212048000002</v>
      </c>
      <c r="H21" s="49">
        <f t="shared" si="6"/>
        <v>1689.2436288960002</v>
      </c>
      <c r="I21" s="49">
        <f t="shared" si="6"/>
        <v>1723.0285014739202</v>
      </c>
      <c r="J21" s="49">
        <f t="shared" si="6"/>
        <v>1757.4890715033987</v>
      </c>
      <c r="K21" s="49">
        <f t="shared" si="6"/>
        <v>1792.6388529334668</v>
      </c>
      <c r="L21" s="49">
        <f t="shared" si="6"/>
        <v>1828.491629992136</v>
      </c>
      <c r="M21" s="49">
        <f t="shared" si="6"/>
        <v>1865.0614625919789</v>
      </c>
      <c r="N21" s="49">
        <f t="shared" si="6"/>
        <v>1902.3626918438185</v>
      </c>
      <c r="O21" s="49">
        <f t="shared" si="6"/>
        <v>1940.409945680695</v>
      </c>
      <c r="P21" s="49">
        <f t="shared" si="6"/>
        <v>1979.218144594309</v>
      </c>
      <c r="Q21" s="49">
        <f t="shared" si="6"/>
        <v>2018.8025074861953</v>
      </c>
      <c r="R21" s="49">
        <f t="shared" si="6"/>
        <v>2059.1785576359193</v>
      </c>
      <c r="S21" s="49">
        <f t="shared" si="6"/>
        <v>2100.3621287886376</v>
      </c>
      <c r="T21" s="49">
        <f t="shared" si="6"/>
        <v>2142.3693713644102</v>
      </c>
      <c r="U21" s="49">
        <f t="shared" si="6"/>
        <v>2185.2167587916983</v>
      </c>
      <c r="V21" s="49">
        <f t="shared" si="6"/>
        <v>2228.9210939675322</v>
      </c>
      <c r="W21" s="49">
        <f t="shared" si="6"/>
        <v>2273.4995158468828</v>
      </c>
      <c r="X21" s="49">
        <f t="shared" si="6"/>
        <v>2318.9695061638204</v>
      </c>
      <c r="Y21" s="49">
        <f t="shared" si="6"/>
        <v>2365.348896287097</v>
      </c>
      <c r="Z21" s="49">
        <f t="shared" si="6"/>
        <v>2412.6558742128391</v>
      </c>
      <c r="AA21" s="49">
        <f t="shared" si="6"/>
        <v>2460.9089916970961</v>
      </c>
      <c r="AB21" s="49">
        <f t="shared" si="6"/>
        <v>2510.1271715310381</v>
      </c>
      <c r="AC21" s="54"/>
    </row>
    <row r="22" spans="1:29">
      <c r="A22" s="59" t="s">
        <v>98</v>
      </c>
      <c r="B22" s="49">
        <v>250</v>
      </c>
      <c r="C22" s="49">
        <f t="shared" si="4"/>
        <v>255</v>
      </c>
      <c r="D22" s="49">
        <f t="shared" si="6"/>
        <v>260.10000000000002</v>
      </c>
      <c r="E22" s="49">
        <f t="shared" si="6"/>
        <v>265.30200000000002</v>
      </c>
      <c r="F22" s="49">
        <f t="shared" si="6"/>
        <v>270.60804000000002</v>
      </c>
      <c r="G22" s="49">
        <f t="shared" si="6"/>
        <v>276.0202008</v>
      </c>
      <c r="H22" s="49">
        <f t="shared" si="6"/>
        <v>281.54060481599998</v>
      </c>
      <c r="I22" s="49">
        <f t="shared" si="6"/>
        <v>287.17141691232001</v>
      </c>
      <c r="J22" s="49">
        <f t="shared" si="6"/>
        <v>292.91484525056643</v>
      </c>
      <c r="K22" s="49">
        <f t="shared" si="6"/>
        <v>298.77314215557777</v>
      </c>
      <c r="L22" s="49">
        <f t="shared" si="6"/>
        <v>304.74860499868936</v>
      </c>
      <c r="M22" s="49">
        <f t="shared" si="6"/>
        <v>310.84357709866316</v>
      </c>
      <c r="N22" s="49">
        <f t="shared" si="6"/>
        <v>317.06044864063642</v>
      </c>
      <c r="O22" s="49">
        <f t="shared" si="6"/>
        <v>323.40165761344917</v>
      </c>
      <c r="P22" s="49">
        <f t="shared" si="6"/>
        <v>329.86969076571819</v>
      </c>
      <c r="Q22" s="49">
        <f t="shared" si="6"/>
        <v>336.46708458103257</v>
      </c>
      <c r="R22" s="49">
        <f t="shared" si="6"/>
        <v>343.19642627265324</v>
      </c>
      <c r="S22" s="49">
        <f t="shared" si="6"/>
        <v>350.06035479810629</v>
      </c>
      <c r="T22" s="49">
        <f t="shared" si="6"/>
        <v>357.0615618940684</v>
      </c>
      <c r="U22" s="49">
        <f t="shared" si="6"/>
        <v>364.20279313194976</v>
      </c>
      <c r="V22" s="49">
        <f t="shared" si="6"/>
        <v>371.48684899458874</v>
      </c>
      <c r="W22" s="49">
        <f t="shared" si="6"/>
        <v>378.91658597448054</v>
      </c>
      <c r="X22" s="49">
        <f t="shared" si="6"/>
        <v>386.49491769397014</v>
      </c>
      <c r="Y22" s="49">
        <f t="shared" si="6"/>
        <v>394.22481604784957</v>
      </c>
      <c r="Z22" s="49">
        <f t="shared" si="6"/>
        <v>402.10931236880657</v>
      </c>
      <c r="AA22" s="49">
        <f t="shared" si="6"/>
        <v>410.15149861618272</v>
      </c>
      <c r="AB22" s="49">
        <f t="shared" si="6"/>
        <v>418.35452858850635</v>
      </c>
      <c r="AC22" s="54"/>
    </row>
    <row r="23" spans="1:29">
      <c r="A23" s="59" t="s">
        <v>99</v>
      </c>
      <c r="B23" s="49">
        <v>1500</v>
      </c>
      <c r="C23" s="49">
        <f t="shared" si="4"/>
        <v>1530</v>
      </c>
      <c r="D23" s="49">
        <f t="shared" si="6"/>
        <v>1560.6000000000001</v>
      </c>
      <c r="E23" s="49">
        <f t="shared" si="6"/>
        <v>1591.8120000000001</v>
      </c>
      <c r="F23" s="49">
        <f t="shared" si="6"/>
        <v>1623.6482400000002</v>
      </c>
      <c r="G23" s="49">
        <f t="shared" si="6"/>
        <v>1656.1212048000002</v>
      </c>
      <c r="H23" s="49">
        <f t="shared" si="6"/>
        <v>1689.2436288960002</v>
      </c>
      <c r="I23" s="49">
        <f t="shared" si="6"/>
        <v>1723.0285014739202</v>
      </c>
      <c r="J23" s="49">
        <f t="shared" si="6"/>
        <v>1757.4890715033987</v>
      </c>
      <c r="K23" s="49">
        <f t="shared" si="6"/>
        <v>1792.6388529334668</v>
      </c>
      <c r="L23" s="49">
        <f t="shared" si="6"/>
        <v>1828.491629992136</v>
      </c>
      <c r="M23" s="49">
        <f t="shared" si="6"/>
        <v>1865.0614625919789</v>
      </c>
      <c r="N23" s="49">
        <f t="shared" si="6"/>
        <v>1902.3626918438185</v>
      </c>
      <c r="O23" s="49">
        <f t="shared" si="6"/>
        <v>1940.409945680695</v>
      </c>
      <c r="P23" s="49">
        <f t="shared" si="6"/>
        <v>1979.218144594309</v>
      </c>
      <c r="Q23" s="49">
        <f t="shared" si="6"/>
        <v>2018.8025074861953</v>
      </c>
      <c r="R23" s="49">
        <f t="shared" si="6"/>
        <v>2059.1785576359193</v>
      </c>
      <c r="S23" s="49">
        <f t="shared" si="6"/>
        <v>2100.3621287886376</v>
      </c>
      <c r="T23" s="49">
        <f t="shared" si="6"/>
        <v>2142.3693713644102</v>
      </c>
      <c r="U23" s="49">
        <f t="shared" si="6"/>
        <v>2185.2167587916983</v>
      </c>
      <c r="V23" s="49">
        <f t="shared" si="6"/>
        <v>2228.9210939675322</v>
      </c>
      <c r="W23" s="49">
        <f t="shared" si="6"/>
        <v>2273.4995158468828</v>
      </c>
      <c r="X23" s="49">
        <f t="shared" si="6"/>
        <v>2318.9695061638204</v>
      </c>
      <c r="Y23" s="49">
        <f t="shared" si="6"/>
        <v>2365.348896287097</v>
      </c>
      <c r="Z23" s="49">
        <f t="shared" si="6"/>
        <v>2412.6558742128391</v>
      </c>
      <c r="AA23" s="49">
        <f t="shared" si="6"/>
        <v>2460.9089916970961</v>
      </c>
      <c r="AB23" s="49">
        <f t="shared" si="6"/>
        <v>2510.1271715310381</v>
      </c>
      <c r="AC23" s="54"/>
    </row>
    <row r="24" spans="1:29">
      <c r="A24" s="59" t="s">
        <v>100</v>
      </c>
      <c r="B24" s="49">
        <v>10000</v>
      </c>
      <c r="C24" s="49">
        <f t="shared" si="4"/>
        <v>10200</v>
      </c>
      <c r="D24" s="49">
        <f t="shared" si="6"/>
        <v>10404</v>
      </c>
      <c r="E24" s="49">
        <f t="shared" si="6"/>
        <v>10612.08</v>
      </c>
      <c r="F24" s="49">
        <f t="shared" si="6"/>
        <v>10824.321599999999</v>
      </c>
      <c r="G24" s="49">
        <f t="shared" si="6"/>
        <v>11040.808031999999</v>
      </c>
      <c r="H24" s="49">
        <f t="shared" si="6"/>
        <v>11261.62419264</v>
      </c>
      <c r="I24" s="49">
        <f t="shared" si="6"/>
        <v>11486.8566764928</v>
      </c>
      <c r="J24" s="49">
        <f t="shared" si="6"/>
        <v>11716.593810022656</v>
      </c>
      <c r="K24" s="49">
        <f t="shared" si="6"/>
        <v>11950.925686223109</v>
      </c>
      <c r="L24" s="49">
        <f t="shared" si="6"/>
        <v>12189.944199947571</v>
      </c>
      <c r="M24" s="49">
        <f t="shared" si="6"/>
        <v>12433.743083946523</v>
      </c>
      <c r="N24" s="49">
        <f t="shared" si="6"/>
        <v>12682.417945625453</v>
      </c>
      <c r="O24" s="49">
        <f t="shared" si="6"/>
        <v>12936.066304537962</v>
      </c>
      <c r="P24" s="49">
        <f t="shared" si="6"/>
        <v>13194.787630628722</v>
      </c>
      <c r="Q24" s="49">
        <f t="shared" si="6"/>
        <v>13458.683383241296</v>
      </c>
      <c r="R24" s="49">
        <f t="shared" si="6"/>
        <v>13727.857050906123</v>
      </c>
      <c r="S24" s="49">
        <f t="shared" si="6"/>
        <v>14002.414191924245</v>
      </c>
      <c r="T24" s="49">
        <f t="shared" si="6"/>
        <v>14282.46247576273</v>
      </c>
      <c r="U24" s="49">
        <f t="shared" si="6"/>
        <v>14568.111725277984</v>
      </c>
      <c r="V24" s="49">
        <f t="shared" si="6"/>
        <v>14859.473959783543</v>
      </c>
      <c r="W24" s="49">
        <f t="shared" si="6"/>
        <v>15156.663438979214</v>
      </c>
      <c r="X24" s="49">
        <f t="shared" si="6"/>
        <v>15459.796707758798</v>
      </c>
      <c r="Y24" s="49">
        <f t="shared" si="6"/>
        <v>15768.992641913974</v>
      </c>
      <c r="Z24" s="49">
        <f t="shared" si="6"/>
        <v>16084.372494752253</v>
      </c>
      <c r="AA24" s="49">
        <f t="shared" si="6"/>
        <v>16406.059944647299</v>
      </c>
      <c r="AB24" s="49">
        <f t="shared" si="6"/>
        <v>16734.181143540245</v>
      </c>
      <c r="AC24" s="54"/>
    </row>
    <row r="25" spans="1:29">
      <c r="A25" s="59" t="s">
        <v>101</v>
      </c>
      <c r="B25" s="49">
        <v>2000</v>
      </c>
      <c r="C25" s="49">
        <f t="shared" si="4"/>
        <v>2040</v>
      </c>
      <c r="D25" s="49">
        <f t="shared" si="6"/>
        <v>2080.8000000000002</v>
      </c>
      <c r="E25" s="49">
        <f t="shared" si="6"/>
        <v>2122.4160000000002</v>
      </c>
      <c r="F25" s="49">
        <f t="shared" si="6"/>
        <v>2164.8643200000001</v>
      </c>
      <c r="G25" s="49">
        <f t="shared" si="6"/>
        <v>2208.1616064</v>
      </c>
      <c r="H25" s="49">
        <f t="shared" si="6"/>
        <v>2252.3248385279999</v>
      </c>
      <c r="I25" s="49">
        <f t="shared" si="6"/>
        <v>2297.3713352985601</v>
      </c>
      <c r="J25" s="49">
        <f t="shared" si="6"/>
        <v>2343.3187620045314</v>
      </c>
      <c r="K25" s="49">
        <f t="shared" si="6"/>
        <v>2390.1851372446222</v>
      </c>
      <c r="L25" s="49">
        <f t="shared" si="6"/>
        <v>2437.9888399895149</v>
      </c>
      <c r="M25" s="49">
        <f t="shared" ref="D25:AB33" si="7">SUM(L25*1.02)</f>
        <v>2486.7486167893053</v>
      </c>
      <c r="N25" s="49">
        <f t="shared" si="7"/>
        <v>2536.4835891250914</v>
      </c>
      <c r="O25" s="49">
        <f t="shared" si="7"/>
        <v>2587.2132609075934</v>
      </c>
      <c r="P25" s="49">
        <f t="shared" si="7"/>
        <v>2638.9575261257455</v>
      </c>
      <c r="Q25" s="49">
        <f t="shared" si="7"/>
        <v>2691.7366766482605</v>
      </c>
      <c r="R25" s="49">
        <f t="shared" si="7"/>
        <v>2745.5714101812259</v>
      </c>
      <c r="S25" s="49">
        <f t="shared" si="7"/>
        <v>2800.4828383848503</v>
      </c>
      <c r="T25" s="49">
        <f t="shared" si="7"/>
        <v>2856.4924951525472</v>
      </c>
      <c r="U25" s="49">
        <f t="shared" si="7"/>
        <v>2913.6223450555981</v>
      </c>
      <c r="V25" s="49">
        <f t="shared" si="7"/>
        <v>2971.8947919567099</v>
      </c>
      <c r="W25" s="49">
        <f t="shared" si="7"/>
        <v>3031.3326877958443</v>
      </c>
      <c r="X25" s="49">
        <f t="shared" si="7"/>
        <v>3091.9593415517611</v>
      </c>
      <c r="Y25" s="49">
        <f t="shared" si="7"/>
        <v>3153.7985283827966</v>
      </c>
      <c r="Z25" s="49">
        <f t="shared" si="7"/>
        <v>3216.8744989504526</v>
      </c>
      <c r="AA25" s="49">
        <f t="shared" si="7"/>
        <v>3281.2119889294618</v>
      </c>
      <c r="AB25" s="49">
        <f t="shared" si="7"/>
        <v>3346.8362287080508</v>
      </c>
      <c r="AC25" s="54"/>
    </row>
    <row r="26" spans="1:29">
      <c r="A26" s="59" t="s">
        <v>102</v>
      </c>
      <c r="B26" s="49">
        <v>1200</v>
      </c>
      <c r="C26" s="49">
        <f t="shared" si="4"/>
        <v>1224</v>
      </c>
      <c r="D26" s="49">
        <f t="shared" si="7"/>
        <v>1248.48</v>
      </c>
      <c r="E26" s="49">
        <f t="shared" si="7"/>
        <v>1273.4496000000001</v>
      </c>
      <c r="F26" s="49">
        <f t="shared" si="7"/>
        <v>1298.9185920000002</v>
      </c>
      <c r="G26" s="49">
        <f t="shared" si="7"/>
        <v>1324.8969638400004</v>
      </c>
      <c r="H26" s="49">
        <f t="shared" si="7"/>
        <v>1351.3949031168004</v>
      </c>
      <c r="I26" s="49">
        <f t="shared" si="7"/>
        <v>1378.4228011791365</v>
      </c>
      <c r="J26" s="49">
        <f t="shared" si="7"/>
        <v>1405.9912572027192</v>
      </c>
      <c r="K26" s="49">
        <f t="shared" si="7"/>
        <v>1434.1110823467736</v>
      </c>
      <c r="L26" s="49">
        <f t="shared" si="7"/>
        <v>1462.7933039937091</v>
      </c>
      <c r="M26" s="49">
        <f t="shared" si="7"/>
        <v>1492.0491700735834</v>
      </c>
      <c r="N26" s="49">
        <f t="shared" si="7"/>
        <v>1521.8901534750551</v>
      </c>
      <c r="O26" s="49">
        <f t="shared" si="7"/>
        <v>1552.3279565445562</v>
      </c>
      <c r="P26" s="49">
        <f t="shared" si="7"/>
        <v>1583.3745156754474</v>
      </c>
      <c r="Q26" s="49">
        <f t="shared" si="7"/>
        <v>1615.0420059889564</v>
      </c>
      <c r="R26" s="49">
        <f t="shared" si="7"/>
        <v>1647.3428461087356</v>
      </c>
      <c r="S26" s="49">
        <f t="shared" si="7"/>
        <v>1680.2897030309102</v>
      </c>
      <c r="T26" s="49">
        <f t="shared" si="7"/>
        <v>1713.8954970915286</v>
      </c>
      <c r="U26" s="49">
        <f t="shared" si="7"/>
        <v>1748.1734070333591</v>
      </c>
      <c r="V26" s="49">
        <f t="shared" si="7"/>
        <v>1783.1368751740263</v>
      </c>
      <c r="W26" s="49">
        <f t="shared" si="7"/>
        <v>1818.7996126775067</v>
      </c>
      <c r="X26" s="49">
        <f t="shared" si="7"/>
        <v>1855.1756049310568</v>
      </c>
      <c r="Y26" s="49">
        <f t="shared" si="7"/>
        <v>1892.279117029678</v>
      </c>
      <c r="Z26" s="49">
        <f t="shared" si="7"/>
        <v>1930.1246993702716</v>
      </c>
      <c r="AA26" s="49">
        <f t="shared" si="7"/>
        <v>1968.7271933576772</v>
      </c>
      <c r="AB26" s="49">
        <f t="shared" si="7"/>
        <v>2008.1017372248307</v>
      </c>
      <c r="AC26" s="54"/>
    </row>
    <row r="27" spans="1:29">
      <c r="A27" s="59" t="s">
        <v>103</v>
      </c>
      <c r="B27" s="49">
        <v>600</v>
      </c>
      <c r="C27" s="49">
        <f t="shared" si="4"/>
        <v>612</v>
      </c>
      <c r="D27" s="49">
        <f t="shared" si="7"/>
        <v>624.24</v>
      </c>
      <c r="E27" s="49">
        <f t="shared" si="7"/>
        <v>636.72480000000007</v>
      </c>
      <c r="F27" s="49">
        <f t="shared" si="7"/>
        <v>649.45929600000011</v>
      </c>
      <c r="G27" s="49">
        <f t="shared" si="7"/>
        <v>662.44848192000018</v>
      </c>
      <c r="H27" s="49">
        <f t="shared" si="7"/>
        <v>675.69745155840019</v>
      </c>
      <c r="I27" s="49">
        <f t="shared" si="7"/>
        <v>689.21140058956826</v>
      </c>
      <c r="J27" s="49">
        <f t="shared" si="7"/>
        <v>702.99562860135961</v>
      </c>
      <c r="K27" s="49">
        <f t="shared" si="7"/>
        <v>717.05554117338681</v>
      </c>
      <c r="L27" s="49">
        <f t="shared" si="7"/>
        <v>731.39665199685453</v>
      </c>
      <c r="M27" s="49">
        <f t="shared" si="7"/>
        <v>746.02458503679168</v>
      </c>
      <c r="N27" s="49">
        <f t="shared" si="7"/>
        <v>760.94507673752753</v>
      </c>
      <c r="O27" s="49">
        <f t="shared" si="7"/>
        <v>776.16397827227809</v>
      </c>
      <c r="P27" s="49">
        <f t="shared" si="7"/>
        <v>791.68725783772368</v>
      </c>
      <c r="Q27" s="49">
        <f t="shared" si="7"/>
        <v>807.52100299447818</v>
      </c>
      <c r="R27" s="49">
        <f t="shared" si="7"/>
        <v>823.67142305436778</v>
      </c>
      <c r="S27" s="49">
        <f t="shared" si="7"/>
        <v>840.14485151545512</v>
      </c>
      <c r="T27" s="49">
        <f t="shared" si="7"/>
        <v>856.94774854576428</v>
      </c>
      <c r="U27" s="49">
        <f t="shared" si="7"/>
        <v>874.08670351667956</v>
      </c>
      <c r="V27" s="49">
        <f t="shared" si="7"/>
        <v>891.56843758701314</v>
      </c>
      <c r="W27" s="49">
        <f t="shared" si="7"/>
        <v>909.39980633875336</v>
      </c>
      <c r="X27" s="49">
        <f t="shared" si="7"/>
        <v>927.5878024655284</v>
      </c>
      <c r="Y27" s="49">
        <f t="shared" si="7"/>
        <v>946.139558514839</v>
      </c>
      <c r="Z27" s="49">
        <f t="shared" si="7"/>
        <v>965.06234968513581</v>
      </c>
      <c r="AA27" s="49">
        <f t="shared" si="7"/>
        <v>984.36359667883858</v>
      </c>
      <c r="AB27" s="49">
        <f t="shared" si="7"/>
        <v>1004.0508686124153</v>
      </c>
      <c r="AC27" s="54"/>
    </row>
    <row r="28" spans="1:29">
      <c r="A28" s="59" t="s">
        <v>104</v>
      </c>
      <c r="B28" s="49">
        <v>2500</v>
      </c>
      <c r="C28" s="49">
        <f t="shared" si="4"/>
        <v>2550</v>
      </c>
      <c r="D28" s="49">
        <f t="shared" si="7"/>
        <v>2601</v>
      </c>
      <c r="E28" s="49">
        <f t="shared" si="7"/>
        <v>2653.02</v>
      </c>
      <c r="F28" s="49">
        <f t="shared" si="7"/>
        <v>2706.0803999999998</v>
      </c>
      <c r="G28" s="49">
        <f t="shared" si="7"/>
        <v>2760.2020079999998</v>
      </c>
      <c r="H28" s="49">
        <f t="shared" si="7"/>
        <v>2815.40604816</v>
      </c>
      <c r="I28" s="49">
        <f t="shared" si="7"/>
        <v>2871.7141691232</v>
      </c>
      <c r="J28" s="49">
        <f t="shared" si="7"/>
        <v>2929.148452505664</v>
      </c>
      <c r="K28" s="49">
        <f t="shared" si="7"/>
        <v>2987.7314215557772</v>
      </c>
      <c r="L28" s="49">
        <f t="shared" si="7"/>
        <v>3047.4860499868928</v>
      </c>
      <c r="M28" s="49">
        <f t="shared" si="7"/>
        <v>3108.4357709866308</v>
      </c>
      <c r="N28" s="49">
        <f t="shared" si="7"/>
        <v>3170.6044864063633</v>
      </c>
      <c r="O28" s="49">
        <f t="shared" si="7"/>
        <v>3234.0165761344906</v>
      </c>
      <c r="P28" s="49">
        <f t="shared" si="7"/>
        <v>3298.6969076571804</v>
      </c>
      <c r="Q28" s="49">
        <f t="shared" si="7"/>
        <v>3364.670845810324</v>
      </c>
      <c r="R28" s="49">
        <f t="shared" si="7"/>
        <v>3431.9642627265307</v>
      </c>
      <c r="S28" s="49">
        <f t="shared" si="7"/>
        <v>3500.6035479810612</v>
      </c>
      <c r="T28" s="49">
        <f t="shared" si="7"/>
        <v>3570.6156189406825</v>
      </c>
      <c r="U28" s="49">
        <f t="shared" si="7"/>
        <v>3642.027931319496</v>
      </c>
      <c r="V28" s="49">
        <f t="shared" si="7"/>
        <v>3714.8684899458858</v>
      </c>
      <c r="W28" s="49">
        <f t="shared" si="7"/>
        <v>3789.1658597448036</v>
      </c>
      <c r="X28" s="49">
        <f t="shared" si="7"/>
        <v>3864.9491769396996</v>
      </c>
      <c r="Y28" s="49">
        <f t="shared" si="7"/>
        <v>3942.2481604784934</v>
      </c>
      <c r="Z28" s="49">
        <f t="shared" si="7"/>
        <v>4021.0931236880633</v>
      </c>
      <c r="AA28" s="49">
        <f t="shared" si="7"/>
        <v>4101.5149861618247</v>
      </c>
      <c r="AB28" s="49">
        <f t="shared" si="7"/>
        <v>4183.5452858850613</v>
      </c>
      <c r="AC28" s="54"/>
    </row>
    <row r="29" spans="1:29">
      <c r="A29" s="59" t="s">
        <v>105</v>
      </c>
      <c r="B29" s="49">
        <v>1800</v>
      </c>
      <c r="C29" s="49">
        <f t="shared" si="4"/>
        <v>1836</v>
      </c>
      <c r="D29" s="49">
        <f t="shared" si="7"/>
        <v>1872.72</v>
      </c>
      <c r="E29" s="49">
        <f t="shared" si="7"/>
        <v>1910.1744000000001</v>
      </c>
      <c r="F29" s="49">
        <f t="shared" si="7"/>
        <v>1948.3778880000002</v>
      </c>
      <c r="G29" s="49">
        <f t="shared" si="7"/>
        <v>1987.3454457600003</v>
      </c>
      <c r="H29" s="49">
        <f t="shared" si="7"/>
        <v>2027.0923546752003</v>
      </c>
      <c r="I29" s="49">
        <f t="shared" si="7"/>
        <v>2067.6342017687043</v>
      </c>
      <c r="J29" s="49">
        <f t="shared" si="7"/>
        <v>2108.9868858040786</v>
      </c>
      <c r="K29" s="49">
        <f t="shared" si="7"/>
        <v>2151.1666235201601</v>
      </c>
      <c r="L29" s="49">
        <f t="shared" si="7"/>
        <v>2194.1899559905632</v>
      </c>
      <c r="M29" s="49">
        <f t="shared" si="7"/>
        <v>2238.0737551103743</v>
      </c>
      <c r="N29" s="49">
        <f t="shared" si="7"/>
        <v>2282.8352302125818</v>
      </c>
      <c r="O29" s="49">
        <f t="shared" si="7"/>
        <v>2328.4919348168337</v>
      </c>
      <c r="P29" s="49">
        <f t="shared" si="7"/>
        <v>2375.0617735131705</v>
      </c>
      <c r="Q29" s="49">
        <f t="shared" si="7"/>
        <v>2422.563008983434</v>
      </c>
      <c r="R29" s="49">
        <f t="shared" si="7"/>
        <v>2471.0142691631027</v>
      </c>
      <c r="S29" s="49">
        <f t="shared" si="7"/>
        <v>2520.4345545463648</v>
      </c>
      <c r="T29" s="49">
        <f t="shared" si="7"/>
        <v>2570.8432456372921</v>
      </c>
      <c r="U29" s="49">
        <f t="shared" si="7"/>
        <v>2622.260110550038</v>
      </c>
      <c r="V29" s="49">
        <f t="shared" si="7"/>
        <v>2674.7053127610388</v>
      </c>
      <c r="W29" s="49">
        <f t="shared" si="7"/>
        <v>2728.1994190162595</v>
      </c>
      <c r="X29" s="49">
        <f t="shared" si="7"/>
        <v>2782.7634073965846</v>
      </c>
      <c r="Y29" s="49">
        <f t="shared" si="7"/>
        <v>2838.4186755445162</v>
      </c>
      <c r="Z29" s="49">
        <f t="shared" si="7"/>
        <v>2895.1870490554065</v>
      </c>
      <c r="AA29" s="49">
        <f t="shared" si="7"/>
        <v>2953.0907900365146</v>
      </c>
      <c r="AB29" s="49">
        <f t="shared" si="7"/>
        <v>3012.1526058372451</v>
      </c>
      <c r="AC29" s="54"/>
    </row>
    <row r="30" spans="1:29">
      <c r="A30" s="59" t="s">
        <v>106</v>
      </c>
      <c r="B30" s="49">
        <v>15000</v>
      </c>
      <c r="C30" s="49">
        <f t="shared" si="4"/>
        <v>15300</v>
      </c>
      <c r="D30" s="49">
        <f t="shared" si="7"/>
        <v>15606</v>
      </c>
      <c r="E30" s="49">
        <f t="shared" si="7"/>
        <v>15918.12</v>
      </c>
      <c r="F30" s="49">
        <f t="shared" si="7"/>
        <v>16236.482400000001</v>
      </c>
      <c r="G30" s="49">
        <f t="shared" si="7"/>
        <v>16561.212048000001</v>
      </c>
      <c r="H30" s="49">
        <f t="shared" si="7"/>
        <v>16892.436288960002</v>
      </c>
      <c r="I30" s="49">
        <f t="shared" si="7"/>
        <v>17230.285014739202</v>
      </c>
      <c r="J30" s="49">
        <f t="shared" si="7"/>
        <v>17574.890715033987</v>
      </c>
      <c r="K30" s="49">
        <f t="shared" si="7"/>
        <v>17926.388529334668</v>
      </c>
      <c r="L30" s="49">
        <f t="shared" si="7"/>
        <v>18284.916299921362</v>
      </c>
      <c r="M30" s="49">
        <f t="shared" si="7"/>
        <v>18650.614625919789</v>
      </c>
      <c r="N30" s="49">
        <f t="shared" si="7"/>
        <v>19023.626918438185</v>
      </c>
      <c r="O30" s="49">
        <f t="shared" si="7"/>
        <v>19404.099456806951</v>
      </c>
      <c r="P30" s="49">
        <f t="shared" si="7"/>
        <v>19792.18144594309</v>
      </c>
      <c r="Q30" s="49">
        <f t="shared" si="7"/>
        <v>20188.025074861951</v>
      </c>
      <c r="R30" s="49">
        <f t="shared" si="7"/>
        <v>20591.785576359191</v>
      </c>
      <c r="S30" s="49">
        <f t="shared" si="7"/>
        <v>21003.621287886373</v>
      </c>
      <c r="T30" s="49">
        <f t="shared" si="7"/>
        <v>21423.693713644101</v>
      </c>
      <c r="U30" s="49">
        <f t="shared" si="7"/>
        <v>21852.167587916985</v>
      </c>
      <c r="V30" s="49">
        <f t="shared" si="7"/>
        <v>22289.210939675326</v>
      </c>
      <c r="W30" s="49">
        <f t="shared" si="7"/>
        <v>22734.995158468832</v>
      </c>
      <c r="X30" s="49">
        <f t="shared" si="7"/>
        <v>23189.695061638209</v>
      </c>
      <c r="Y30" s="49">
        <f t="shared" si="7"/>
        <v>23653.488962870975</v>
      </c>
      <c r="Z30" s="49">
        <f t="shared" si="7"/>
        <v>24126.558742128396</v>
      </c>
      <c r="AA30" s="49">
        <f t="shared" si="7"/>
        <v>24609.089916970963</v>
      </c>
      <c r="AB30" s="49">
        <f t="shared" si="7"/>
        <v>25101.271715310384</v>
      </c>
      <c r="AC30" s="54"/>
    </row>
    <row r="31" spans="1:29">
      <c r="A31" s="59" t="s">
        <v>107</v>
      </c>
      <c r="B31" s="49">
        <v>3400</v>
      </c>
      <c r="C31" s="49">
        <f t="shared" si="4"/>
        <v>3468</v>
      </c>
      <c r="D31" s="49">
        <f t="shared" si="7"/>
        <v>3537.36</v>
      </c>
      <c r="E31" s="49">
        <f t="shared" si="7"/>
        <v>3608.1072000000004</v>
      </c>
      <c r="F31" s="49">
        <f t="shared" si="7"/>
        <v>3680.2693440000003</v>
      </c>
      <c r="G31" s="49">
        <f t="shared" si="7"/>
        <v>3753.8747308800002</v>
      </c>
      <c r="H31" s="49">
        <f t="shared" si="7"/>
        <v>3828.9522254976005</v>
      </c>
      <c r="I31" s="49">
        <f t="shared" si="7"/>
        <v>3905.5312700075524</v>
      </c>
      <c r="J31" s="49">
        <f t="shared" si="7"/>
        <v>3983.6418954077035</v>
      </c>
      <c r="K31" s="49">
        <f t="shared" si="7"/>
        <v>4063.3147333158577</v>
      </c>
      <c r="L31" s="49">
        <f t="shared" si="7"/>
        <v>4144.5810279821753</v>
      </c>
      <c r="M31" s="49">
        <f t="shared" si="7"/>
        <v>4227.4726485418187</v>
      </c>
      <c r="N31" s="49">
        <f t="shared" si="7"/>
        <v>4312.0221015126554</v>
      </c>
      <c r="O31" s="49">
        <f t="shared" si="7"/>
        <v>4398.2625435429081</v>
      </c>
      <c r="P31" s="49">
        <f t="shared" si="7"/>
        <v>4486.2277944137668</v>
      </c>
      <c r="Q31" s="49">
        <f t="shared" si="7"/>
        <v>4575.9523503020419</v>
      </c>
      <c r="R31" s="49">
        <f t="shared" si="7"/>
        <v>4667.4713973080825</v>
      </c>
      <c r="S31" s="49">
        <f t="shared" si="7"/>
        <v>4760.8208252542445</v>
      </c>
      <c r="T31" s="49">
        <f t="shared" si="7"/>
        <v>4856.0372417593298</v>
      </c>
      <c r="U31" s="49">
        <f t="shared" si="7"/>
        <v>4953.1579865945168</v>
      </c>
      <c r="V31" s="49">
        <f t="shared" si="7"/>
        <v>5052.2211463264075</v>
      </c>
      <c r="W31" s="49">
        <f t="shared" si="7"/>
        <v>5153.2655692529361</v>
      </c>
      <c r="X31" s="49">
        <f t="shared" si="7"/>
        <v>5256.3308806379946</v>
      </c>
      <c r="Y31" s="49">
        <f t="shared" si="7"/>
        <v>5361.4574982507547</v>
      </c>
      <c r="Z31" s="49">
        <f t="shared" si="7"/>
        <v>5468.6866482157702</v>
      </c>
      <c r="AA31" s="49">
        <f t="shared" si="7"/>
        <v>5578.0603811800856</v>
      </c>
      <c r="AB31" s="49">
        <f t="shared" si="7"/>
        <v>5689.6215888036877</v>
      </c>
      <c r="AC31" s="54"/>
    </row>
    <row r="32" spans="1:29">
      <c r="A32" s="59" t="s">
        <v>108</v>
      </c>
      <c r="B32" s="49">
        <v>1200</v>
      </c>
      <c r="C32" s="49">
        <f t="shared" si="4"/>
        <v>1224</v>
      </c>
      <c r="D32" s="49">
        <f t="shared" si="7"/>
        <v>1248.48</v>
      </c>
      <c r="E32" s="49">
        <f t="shared" si="7"/>
        <v>1273.4496000000001</v>
      </c>
      <c r="F32" s="49">
        <f t="shared" si="7"/>
        <v>1298.9185920000002</v>
      </c>
      <c r="G32" s="49">
        <f t="shared" si="7"/>
        <v>1324.8969638400004</v>
      </c>
      <c r="H32" s="49">
        <f t="shared" si="7"/>
        <v>1351.3949031168004</v>
      </c>
      <c r="I32" s="49">
        <f t="shared" si="7"/>
        <v>1378.4228011791365</v>
      </c>
      <c r="J32" s="49">
        <f t="shared" si="7"/>
        <v>1405.9912572027192</v>
      </c>
      <c r="K32" s="49">
        <f t="shared" si="7"/>
        <v>1434.1110823467736</v>
      </c>
      <c r="L32" s="49">
        <f t="shared" si="7"/>
        <v>1462.7933039937091</v>
      </c>
      <c r="M32" s="49">
        <f t="shared" si="7"/>
        <v>1492.0491700735834</v>
      </c>
      <c r="N32" s="49">
        <f t="shared" si="7"/>
        <v>1521.8901534750551</v>
      </c>
      <c r="O32" s="49">
        <f t="shared" si="7"/>
        <v>1552.3279565445562</v>
      </c>
      <c r="P32" s="49">
        <f t="shared" si="7"/>
        <v>1583.3745156754474</v>
      </c>
      <c r="Q32" s="49">
        <f t="shared" si="7"/>
        <v>1615.0420059889564</v>
      </c>
      <c r="R32" s="49">
        <f t="shared" si="7"/>
        <v>1647.3428461087356</v>
      </c>
      <c r="S32" s="49">
        <f t="shared" si="7"/>
        <v>1680.2897030309102</v>
      </c>
      <c r="T32" s="49">
        <f t="shared" si="7"/>
        <v>1713.8954970915286</v>
      </c>
      <c r="U32" s="49">
        <f t="shared" si="7"/>
        <v>1748.1734070333591</v>
      </c>
      <c r="V32" s="49">
        <f t="shared" si="7"/>
        <v>1783.1368751740263</v>
      </c>
      <c r="W32" s="49">
        <f t="shared" si="7"/>
        <v>1818.7996126775067</v>
      </c>
      <c r="X32" s="49">
        <f t="shared" si="7"/>
        <v>1855.1756049310568</v>
      </c>
      <c r="Y32" s="49">
        <f t="shared" si="7"/>
        <v>1892.279117029678</v>
      </c>
      <c r="Z32" s="49">
        <f t="shared" si="7"/>
        <v>1930.1246993702716</v>
      </c>
      <c r="AA32" s="49">
        <f t="shared" si="7"/>
        <v>1968.7271933576772</v>
      </c>
      <c r="AB32" s="49">
        <f t="shared" si="7"/>
        <v>2008.1017372248307</v>
      </c>
      <c r="AC32" s="54"/>
    </row>
    <row r="33" spans="1:29">
      <c r="A33" s="59" t="s">
        <v>109</v>
      </c>
      <c r="B33" s="49">
        <v>1000</v>
      </c>
      <c r="C33" s="49">
        <f t="shared" si="4"/>
        <v>1020</v>
      </c>
      <c r="D33" s="49">
        <f t="shared" si="7"/>
        <v>1040.4000000000001</v>
      </c>
      <c r="E33" s="49">
        <f t="shared" si="7"/>
        <v>1061.2080000000001</v>
      </c>
      <c r="F33" s="49">
        <f t="shared" si="7"/>
        <v>1082.4321600000001</v>
      </c>
      <c r="G33" s="49">
        <f t="shared" si="7"/>
        <v>1104.0808032</v>
      </c>
      <c r="H33" s="49">
        <f t="shared" si="7"/>
        <v>1126.1624192639999</v>
      </c>
      <c r="I33" s="49">
        <f t="shared" si="7"/>
        <v>1148.68566764928</v>
      </c>
      <c r="J33" s="49">
        <f t="shared" si="7"/>
        <v>1171.6593810022657</v>
      </c>
      <c r="K33" s="49">
        <f t="shared" si="7"/>
        <v>1195.0925686223111</v>
      </c>
      <c r="L33" s="49">
        <f t="shared" si="7"/>
        <v>1218.9944199947574</v>
      </c>
      <c r="M33" s="49">
        <f t="shared" si="7"/>
        <v>1243.3743083946526</v>
      </c>
      <c r="N33" s="49">
        <f t="shared" si="7"/>
        <v>1268.2417945625457</v>
      </c>
      <c r="O33" s="49">
        <f t="shared" si="7"/>
        <v>1293.6066304537967</v>
      </c>
      <c r="P33" s="49">
        <f t="shared" si="7"/>
        <v>1319.4787630628728</v>
      </c>
      <c r="Q33" s="49">
        <f t="shared" si="7"/>
        <v>1345.8683383241303</v>
      </c>
      <c r="R33" s="49">
        <f t="shared" si="7"/>
        <v>1372.785705090613</v>
      </c>
      <c r="S33" s="49">
        <f t="shared" si="7"/>
        <v>1400.2414191924252</v>
      </c>
      <c r="T33" s="49">
        <f t="shared" si="7"/>
        <v>1428.2462475762736</v>
      </c>
      <c r="U33" s="49">
        <f t="shared" si="7"/>
        <v>1456.811172527799</v>
      </c>
      <c r="V33" s="49">
        <f t="shared" si="7"/>
        <v>1485.947395978355</v>
      </c>
      <c r="W33" s="49">
        <f t="shared" si="7"/>
        <v>1515.6663438979222</v>
      </c>
      <c r="X33" s="49">
        <f t="shared" si="7"/>
        <v>1545.9796707758805</v>
      </c>
      <c r="Y33" s="49">
        <f t="shared" si="7"/>
        <v>1576.8992641913983</v>
      </c>
      <c r="Z33" s="49">
        <f t="shared" si="7"/>
        <v>1608.4372494752263</v>
      </c>
      <c r="AA33" s="49">
        <f t="shared" si="7"/>
        <v>1640.6059944647309</v>
      </c>
      <c r="AB33" s="49">
        <f t="shared" si="7"/>
        <v>1673.4181143540254</v>
      </c>
      <c r="AC33" s="54"/>
    </row>
    <row r="34" spans="1:29">
      <c r="A34" s="59" t="s">
        <v>110</v>
      </c>
      <c r="B34" s="49"/>
      <c r="C34" s="49">
        <v>3264</v>
      </c>
      <c r="D34" s="49">
        <f t="shared" ref="D34:AC34" si="8">SUM(C34*1.02)</f>
        <v>3329.28</v>
      </c>
      <c r="E34" s="49">
        <f t="shared" si="8"/>
        <v>3395.8656000000001</v>
      </c>
      <c r="F34" s="49">
        <f t="shared" si="8"/>
        <v>3463.7829120000001</v>
      </c>
      <c r="G34" s="49">
        <f t="shared" si="8"/>
        <v>3533.0585702400003</v>
      </c>
      <c r="H34" s="49">
        <f t="shared" si="8"/>
        <v>3603.7197416448003</v>
      </c>
      <c r="I34" s="49">
        <f t="shared" si="8"/>
        <v>3675.7941364776962</v>
      </c>
      <c r="J34" s="49">
        <f t="shared" si="8"/>
        <v>3749.3100192072502</v>
      </c>
      <c r="K34" s="49">
        <f t="shared" si="8"/>
        <v>3824.2962195913951</v>
      </c>
      <c r="L34" s="49">
        <f t="shared" si="8"/>
        <v>3900.7821439832232</v>
      </c>
      <c r="M34" s="49">
        <f t="shared" si="8"/>
        <v>3978.7977868628877</v>
      </c>
      <c r="N34" s="49">
        <f t="shared" si="8"/>
        <v>4058.3737426001458</v>
      </c>
      <c r="O34" s="49">
        <f t="shared" si="8"/>
        <v>4139.5412174521489</v>
      </c>
      <c r="P34" s="49">
        <f t="shared" si="8"/>
        <v>4222.3320418011917</v>
      </c>
      <c r="Q34" s="49">
        <f t="shared" si="8"/>
        <v>4306.7786826372158</v>
      </c>
      <c r="R34" s="49">
        <f t="shared" si="8"/>
        <v>4392.9142562899606</v>
      </c>
      <c r="S34" s="49">
        <f t="shared" si="8"/>
        <v>4480.7725414157603</v>
      </c>
      <c r="T34" s="49">
        <f t="shared" si="8"/>
        <v>4570.3879922440756</v>
      </c>
      <c r="U34" s="49">
        <f t="shared" si="8"/>
        <v>4661.7957520889568</v>
      </c>
      <c r="V34" s="49">
        <f t="shared" si="8"/>
        <v>4755.0316671307364</v>
      </c>
      <c r="W34" s="49">
        <f t="shared" si="8"/>
        <v>4850.1323004733513</v>
      </c>
      <c r="X34" s="49">
        <f t="shared" si="8"/>
        <v>4947.1349464828181</v>
      </c>
      <c r="Y34" s="49">
        <f t="shared" si="8"/>
        <v>5046.0776454124743</v>
      </c>
      <c r="Z34" s="49">
        <f t="shared" si="8"/>
        <v>5146.9991983207237</v>
      </c>
      <c r="AA34" s="49">
        <f t="shared" si="8"/>
        <v>5249.9391822871385</v>
      </c>
      <c r="AB34" s="49">
        <f t="shared" si="8"/>
        <v>5354.9379659328815</v>
      </c>
      <c r="AC34" s="54">
        <f t="shared" si="8"/>
        <v>5462.0367252515389</v>
      </c>
    </row>
    <row r="35" spans="1:29">
      <c r="A35" s="59" t="s">
        <v>111</v>
      </c>
      <c r="B35" s="49"/>
      <c r="C35" s="49"/>
      <c r="D35" s="49">
        <v>30000</v>
      </c>
      <c r="E35" s="49">
        <f t="shared" ref="D35:AC35" si="9">SUM(D35*1.02)</f>
        <v>30600</v>
      </c>
      <c r="F35" s="49">
        <f t="shared" si="9"/>
        <v>31212</v>
      </c>
      <c r="G35" s="49">
        <f t="shared" si="9"/>
        <v>31836.240000000002</v>
      </c>
      <c r="H35" s="49">
        <f t="shared" si="9"/>
        <v>32472.964800000002</v>
      </c>
      <c r="I35" s="49">
        <f t="shared" si="9"/>
        <v>33122.424096000002</v>
      </c>
      <c r="J35" s="49">
        <f t="shared" si="9"/>
        <v>33784.872577920003</v>
      </c>
      <c r="K35" s="49">
        <f t="shared" si="9"/>
        <v>34460.570029478404</v>
      </c>
      <c r="L35" s="49">
        <f t="shared" si="9"/>
        <v>35149.781430067975</v>
      </c>
      <c r="M35" s="49">
        <f t="shared" si="9"/>
        <v>35852.777058669337</v>
      </c>
      <c r="N35" s="49">
        <f t="shared" si="9"/>
        <v>36569.832599842724</v>
      </c>
      <c r="O35" s="49">
        <f t="shared" si="9"/>
        <v>37301.229251839577</v>
      </c>
      <c r="P35" s="49">
        <f t="shared" si="9"/>
        <v>38047.253836876371</v>
      </c>
      <c r="Q35" s="49">
        <f t="shared" si="9"/>
        <v>38808.198913613902</v>
      </c>
      <c r="R35" s="49">
        <f t="shared" si="9"/>
        <v>39584.36289188618</v>
      </c>
      <c r="S35" s="49">
        <f t="shared" si="9"/>
        <v>40376.050149723902</v>
      </c>
      <c r="T35" s="49">
        <f t="shared" si="9"/>
        <v>41183.571152718381</v>
      </c>
      <c r="U35" s="49">
        <f t="shared" si="9"/>
        <v>42007.242575772747</v>
      </c>
      <c r="V35" s="49">
        <f t="shared" si="9"/>
        <v>42847.387427288202</v>
      </c>
      <c r="W35" s="49">
        <f t="shared" si="9"/>
        <v>43704.33517583397</v>
      </c>
      <c r="X35" s="49">
        <f t="shared" si="9"/>
        <v>44578.421879350652</v>
      </c>
      <c r="Y35" s="49">
        <f t="shared" si="9"/>
        <v>45469.990316937663</v>
      </c>
      <c r="Z35" s="49">
        <f t="shared" si="9"/>
        <v>46379.390123276418</v>
      </c>
      <c r="AA35" s="49">
        <f t="shared" si="9"/>
        <v>47306.97792574195</v>
      </c>
      <c r="AB35" s="49">
        <f t="shared" si="9"/>
        <v>48253.117484256793</v>
      </c>
      <c r="AC35" s="54">
        <f t="shared" si="9"/>
        <v>49218.179833941926</v>
      </c>
    </row>
    <row r="36" spans="1:29">
      <c r="A36" s="59"/>
      <c r="B36" s="49"/>
      <c r="C36" s="49">
        <f t="shared" si="4"/>
        <v>0</v>
      </c>
      <c r="D36" s="49">
        <f t="shared" ref="D36:AC36" si="10">SUM(C36*1.02)</f>
        <v>0</v>
      </c>
      <c r="E36" s="49">
        <f t="shared" si="10"/>
        <v>0</v>
      </c>
      <c r="F36" s="49">
        <f t="shared" si="10"/>
        <v>0</v>
      </c>
      <c r="G36" s="49">
        <f t="shared" si="10"/>
        <v>0</v>
      </c>
      <c r="H36" s="49">
        <f t="shared" si="10"/>
        <v>0</v>
      </c>
      <c r="I36" s="49">
        <f t="shared" si="10"/>
        <v>0</v>
      </c>
      <c r="J36" s="49">
        <f t="shared" si="10"/>
        <v>0</v>
      </c>
      <c r="K36" s="49">
        <f t="shared" si="10"/>
        <v>0</v>
      </c>
      <c r="L36" s="49">
        <f t="shared" si="10"/>
        <v>0</v>
      </c>
      <c r="M36" s="49">
        <f t="shared" si="10"/>
        <v>0</v>
      </c>
      <c r="N36" s="49">
        <f t="shared" si="10"/>
        <v>0</v>
      </c>
      <c r="O36" s="49">
        <f t="shared" si="10"/>
        <v>0</v>
      </c>
      <c r="P36" s="49">
        <f t="shared" si="10"/>
        <v>0</v>
      </c>
      <c r="Q36" s="49">
        <f t="shared" si="10"/>
        <v>0</v>
      </c>
      <c r="R36" s="49">
        <f t="shared" si="10"/>
        <v>0</v>
      </c>
      <c r="S36" s="49">
        <f t="shared" si="10"/>
        <v>0</v>
      </c>
      <c r="T36" s="49">
        <f t="shared" si="10"/>
        <v>0</v>
      </c>
      <c r="U36" s="49">
        <f t="shared" si="10"/>
        <v>0</v>
      </c>
      <c r="V36" s="49">
        <f t="shared" si="10"/>
        <v>0</v>
      </c>
      <c r="W36" s="49">
        <f t="shared" si="10"/>
        <v>0</v>
      </c>
      <c r="X36" s="49">
        <f t="shared" si="10"/>
        <v>0</v>
      </c>
      <c r="Y36" s="49">
        <f t="shared" si="10"/>
        <v>0</v>
      </c>
      <c r="Z36" s="49">
        <f t="shared" si="10"/>
        <v>0</v>
      </c>
      <c r="AA36" s="49">
        <f t="shared" si="10"/>
        <v>0</v>
      </c>
      <c r="AB36" s="49">
        <f t="shared" si="10"/>
        <v>0</v>
      </c>
      <c r="AC36" s="54">
        <f t="shared" si="10"/>
        <v>0</v>
      </c>
    </row>
    <row r="37" spans="1:29">
      <c r="A37" s="59"/>
      <c r="B37" s="49"/>
      <c r="C37" s="49">
        <f t="shared" si="4"/>
        <v>0</v>
      </c>
      <c r="D37" s="49">
        <f t="shared" ref="D37:AC37" si="11">SUM(C37*1.02)</f>
        <v>0</v>
      </c>
      <c r="E37" s="49">
        <f t="shared" si="11"/>
        <v>0</v>
      </c>
      <c r="F37" s="49">
        <f t="shared" si="11"/>
        <v>0</v>
      </c>
      <c r="G37" s="49">
        <f t="shared" si="11"/>
        <v>0</v>
      </c>
      <c r="H37" s="49">
        <f t="shared" si="11"/>
        <v>0</v>
      </c>
      <c r="I37" s="49">
        <f t="shared" si="11"/>
        <v>0</v>
      </c>
      <c r="J37" s="49">
        <f t="shared" si="11"/>
        <v>0</v>
      </c>
      <c r="K37" s="49">
        <f t="shared" si="11"/>
        <v>0</v>
      </c>
      <c r="L37" s="49">
        <f t="shared" si="11"/>
        <v>0</v>
      </c>
      <c r="M37" s="49">
        <f t="shared" si="11"/>
        <v>0</v>
      </c>
      <c r="N37" s="49">
        <f t="shared" si="11"/>
        <v>0</v>
      </c>
      <c r="O37" s="49">
        <f t="shared" si="11"/>
        <v>0</v>
      </c>
      <c r="P37" s="49">
        <f t="shared" si="11"/>
        <v>0</v>
      </c>
      <c r="Q37" s="49">
        <f t="shared" si="11"/>
        <v>0</v>
      </c>
      <c r="R37" s="49">
        <f t="shared" si="11"/>
        <v>0</v>
      </c>
      <c r="S37" s="49">
        <f t="shared" si="11"/>
        <v>0</v>
      </c>
      <c r="T37" s="49">
        <f t="shared" si="11"/>
        <v>0</v>
      </c>
      <c r="U37" s="49">
        <f t="shared" si="11"/>
        <v>0</v>
      </c>
      <c r="V37" s="49">
        <f t="shared" si="11"/>
        <v>0</v>
      </c>
      <c r="W37" s="49">
        <f t="shared" si="11"/>
        <v>0</v>
      </c>
      <c r="X37" s="49">
        <f t="shared" si="11"/>
        <v>0</v>
      </c>
      <c r="Y37" s="49">
        <f t="shared" si="11"/>
        <v>0</v>
      </c>
      <c r="Z37" s="49">
        <f t="shared" si="11"/>
        <v>0</v>
      </c>
      <c r="AA37" s="49">
        <f t="shared" si="11"/>
        <v>0</v>
      </c>
      <c r="AB37" s="49">
        <f t="shared" si="11"/>
        <v>0</v>
      </c>
      <c r="AC37" s="54">
        <f t="shared" si="11"/>
        <v>0</v>
      </c>
    </row>
    <row r="38" spans="1:29">
      <c r="A38" s="59"/>
      <c r="B38" s="49"/>
      <c r="C38" s="49">
        <f t="shared" si="4"/>
        <v>0</v>
      </c>
      <c r="D38" s="49">
        <f t="shared" ref="D38:AC38" si="12">SUM(C38*1.02)</f>
        <v>0</v>
      </c>
      <c r="E38" s="49">
        <f t="shared" si="12"/>
        <v>0</v>
      </c>
      <c r="F38" s="49">
        <f t="shared" si="12"/>
        <v>0</v>
      </c>
      <c r="G38" s="49">
        <f t="shared" si="12"/>
        <v>0</v>
      </c>
      <c r="H38" s="49">
        <f t="shared" si="12"/>
        <v>0</v>
      </c>
      <c r="I38" s="49">
        <f t="shared" si="12"/>
        <v>0</v>
      </c>
      <c r="J38" s="49">
        <f t="shared" si="12"/>
        <v>0</v>
      </c>
      <c r="K38" s="49">
        <f t="shared" si="12"/>
        <v>0</v>
      </c>
      <c r="L38" s="49">
        <f t="shared" si="12"/>
        <v>0</v>
      </c>
      <c r="M38" s="49">
        <f t="shared" si="12"/>
        <v>0</v>
      </c>
      <c r="N38" s="49">
        <f t="shared" si="12"/>
        <v>0</v>
      </c>
      <c r="O38" s="49">
        <f t="shared" si="12"/>
        <v>0</v>
      </c>
      <c r="P38" s="49">
        <f t="shared" si="12"/>
        <v>0</v>
      </c>
      <c r="Q38" s="49">
        <f t="shared" si="12"/>
        <v>0</v>
      </c>
      <c r="R38" s="49">
        <f t="shared" si="12"/>
        <v>0</v>
      </c>
      <c r="S38" s="49">
        <f t="shared" si="12"/>
        <v>0</v>
      </c>
      <c r="T38" s="49">
        <f t="shared" si="12"/>
        <v>0</v>
      </c>
      <c r="U38" s="49">
        <f t="shared" si="12"/>
        <v>0</v>
      </c>
      <c r="V38" s="49">
        <f t="shared" si="12"/>
        <v>0</v>
      </c>
      <c r="W38" s="49">
        <f t="shared" si="12"/>
        <v>0</v>
      </c>
      <c r="X38" s="49">
        <f t="shared" si="12"/>
        <v>0</v>
      </c>
      <c r="Y38" s="49">
        <f t="shared" si="12"/>
        <v>0</v>
      </c>
      <c r="Z38" s="49">
        <f t="shared" si="12"/>
        <v>0</v>
      </c>
      <c r="AA38" s="49">
        <f t="shared" si="12"/>
        <v>0</v>
      </c>
      <c r="AB38" s="49">
        <f t="shared" si="12"/>
        <v>0</v>
      </c>
      <c r="AC38" s="54">
        <f t="shared" si="12"/>
        <v>0</v>
      </c>
    </row>
    <row r="39" spans="1:29">
      <c r="A39" s="59"/>
      <c r="B39" s="49"/>
      <c r="C39" s="49">
        <f t="shared" si="4"/>
        <v>0</v>
      </c>
      <c r="D39" s="49">
        <f t="shared" ref="D39:AC39" si="13">SUM(C39*1.02)</f>
        <v>0</v>
      </c>
      <c r="E39" s="49">
        <f t="shared" si="13"/>
        <v>0</v>
      </c>
      <c r="F39" s="49">
        <f t="shared" si="13"/>
        <v>0</v>
      </c>
      <c r="G39" s="49">
        <f t="shared" si="13"/>
        <v>0</v>
      </c>
      <c r="H39" s="49">
        <f t="shared" si="13"/>
        <v>0</v>
      </c>
      <c r="I39" s="49">
        <f t="shared" si="13"/>
        <v>0</v>
      </c>
      <c r="J39" s="49">
        <f t="shared" si="13"/>
        <v>0</v>
      </c>
      <c r="K39" s="49">
        <f t="shared" si="13"/>
        <v>0</v>
      </c>
      <c r="L39" s="49">
        <f t="shared" si="13"/>
        <v>0</v>
      </c>
      <c r="M39" s="49">
        <f t="shared" si="13"/>
        <v>0</v>
      </c>
      <c r="N39" s="49">
        <f t="shared" si="13"/>
        <v>0</v>
      </c>
      <c r="O39" s="49">
        <f t="shared" si="13"/>
        <v>0</v>
      </c>
      <c r="P39" s="49">
        <f t="shared" si="13"/>
        <v>0</v>
      </c>
      <c r="Q39" s="49">
        <f t="shared" si="13"/>
        <v>0</v>
      </c>
      <c r="R39" s="49">
        <f t="shared" si="13"/>
        <v>0</v>
      </c>
      <c r="S39" s="49">
        <f t="shared" si="13"/>
        <v>0</v>
      </c>
      <c r="T39" s="49">
        <f t="shared" si="13"/>
        <v>0</v>
      </c>
      <c r="U39" s="49">
        <f t="shared" si="13"/>
        <v>0</v>
      </c>
      <c r="V39" s="49">
        <f t="shared" si="13"/>
        <v>0</v>
      </c>
      <c r="W39" s="49">
        <f t="shared" si="13"/>
        <v>0</v>
      </c>
      <c r="X39" s="49">
        <f t="shared" si="13"/>
        <v>0</v>
      </c>
      <c r="Y39" s="49">
        <f t="shared" si="13"/>
        <v>0</v>
      </c>
      <c r="Z39" s="49">
        <f t="shared" si="13"/>
        <v>0</v>
      </c>
      <c r="AA39" s="49">
        <f t="shared" si="13"/>
        <v>0</v>
      </c>
      <c r="AB39" s="49">
        <f t="shared" si="13"/>
        <v>0</v>
      </c>
      <c r="AC39" s="54">
        <f t="shared" si="13"/>
        <v>0</v>
      </c>
    </row>
    <row r="40" spans="1:29">
      <c r="A40" s="59"/>
      <c r="B40" s="49"/>
      <c r="C40" s="49">
        <f t="shared" si="4"/>
        <v>0</v>
      </c>
      <c r="D40" s="49">
        <f t="shared" ref="D40:AC40" si="14">SUM(C40*1.02)</f>
        <v>0</v>
      </c>
      <c r="E40" s="49">
        <f t="shared" si="14"/>
        <v>0</v>
      </c>
      <c r="F40" s="49">
        <f t="shared" si="14"/>
        <v>0</v>
      </c>
      <c r="G40" s="49">
        <f t="shared" si="14"/>
        <v>0</v>
      </c>
      <c r="H40" s="49">
        <f t="shared" si="14"/>
        <v>0</v>
      </c>
      <c r="I40" s="49">
        <f t="shared" si="14"/>
        <v>0</v>
      </c>
      <c r="J40" s="49">
        <f t="shared" si="14"/>
        <v>0</v>
      </c>
      <c r="K40" s="49">
        <f t="shared" si="14"/>
        <v>0</v>
      </c>
      <c r="L40" s="49">
        <f t="shared" si="14"/>
        <v>0</v>
      </c>
      <c r="M40" s="49">
        <f t="shared" si="14"/>
        <v>0</v>
      </c>
      <c r="N40" s="49">
        <f t="shared" si="14"/>
        <v>0</v>
      </c>
      <c r="O40" s="49">
        <f t="shared" si="14"/>
        <v>0</v>
      </c>
      <c r="P40" s="49">
        <f t="shared" si="14"/>
        <v>0</v>
      </c>
      <c r="Q40" s="49">
        <f t="shared" si="14"/>
        <v>0</v>
      </c>
      <c r="R40" s="49">
        <f t="shared" si="14"/>
        <v>0</v>
      </c>
      <c r="S40" s="49">
        <f t="shared" si="14"/>
        <v>0</v>
      </c>
      <c r="T40" s="49">
        <f t="shared" si="14"/>
        <v>0</v>
      </c>
      <c r="U40" s="49">
        <f t="shared" si="14"/>
        <v>0</v>
      </c>
      <c r="V40" s="49">
        <f t="shared" si="14"/>
        <v>0</v>
      </c>
      <c r="W40" s="49">
        <f t="shared" si="14"/>
        <v>0</v>
      </c>
      <c r="X40" s="49">
        <f t="shared" si="14"/>
        <v>0</v>
      </c>
      <c r="Y40" s="49">
        <f t="shared" si="14"/>
        <v>0</v>
      </c>
      <c r="Z40" s="49">
        <f t="shared" si="14"/>
        <v>0</v>
      </c>
      <c r="AA40" s="49">
        <f t="shared" si="14"/>
        <v>0</v>
      </c>
      <c r="AB40" s="49">
        <f t="shared" si="14"/>
        <v>0</v>
      </c>
      <c r="AC40" s="54">
        <f t="shared" si="14"/>
        <v>0</v>
      </c>
    </row>
    <row r="41" spans="1:29">
      <c r="A41" s="59"/>
      <c r="B41" s="49"/>
      <c r="C41" s="49">
        <f t="shared" si="4"/>
        <v>0</v>
      </c>
      <c r="D41" s="49">
        <f t="shared" ref="D41:AC41" si="15">SUM(C41*1.02)</f>
        <v>0</v>
      </c>
      <c r="E41" s="49">
        <f t="shared" si="15"/>
        <v>0</v>
      </c>
      <c r="F41" s="49">
        <f t="shared" si="15"/>
        <v>0</v>
      </c>
      <c r="G41" s="49">
        <f t="shared" si="15"/>
        <v>0</v>
      </c>
      <c r="H41" s="49">
        <f t="shared" si="15"/>
        <v>0</v>
      </c>
      <c r="I41" s="49">
        <f t="shared" si="15"/>
        <v>0</v>
      </c>
      <c r="J41" s="49">
        <f t="shared" si="15"/>
        <v>0</v>
      </c>
      <c r="K41" s="49">
        <f t="shared" si="15"/>
        <v>0</v>
      </c>
      <c r="L41" s="49">
        <f t="shared" si="15"/>
        <v>0</v>
      </c>
      <c r="M41" s="49">
        <f t="shared" si="15"/>
        <v>0</v>
      </c>
      <c r="N41" s="49">
        <f t="shared" si="15"/>
        <v>0</v>
      </c>
      <c r="O41" s="49">
        <f t="shared" si="15"/>
        <v>0</v>
      </c>
      <c r="P41" s="49">
        <f t="shared" si="15"/>
        <v>0</v>
      </c>
      <c r="Q41" s="49">
        <f t="shared" si="15"/>
        <v>0</v>
      </c>
      <c r="R41" s="49">
        <f t="shared" si="15"/>
        <v>0</v>
      </c>
      <c r="S41" s="49">
        <f t="shared" si="15"/>
        <v>0</v>
      </c>
      <c r="T41" s="49">
        <f t="shared" si="15"/>
        <v>0</v>
      </c>
      <c r="U41" s="49">
        <f t="shared" si="15"/>
        <v>0</v>
      </c>
      <c r="V41" s="49">
        <f t="shared" si="15"/>
        <v>0</v>
      </c>
      <c r="W41" s="49">
        <f t="shared" si="15"/>
        <v>0</v>
      </c>
      <c r="X41" s="49">
        <f t="shared" si="15"/>
        <v>0</v>
      </c>
      <c r="Y41" s="49">
        <f t="shared" si="15"/>
        <v>0</v>
      </c>
      <c r="Z41" s="49">
        <f t="shared" si="15"/>
        <v>0</v>
      </c>
      <c r="AA41" s="49">
        <f t="shared" si="15"/>
        <v>0</v>
      </c>
      <c r="AB41" s="49">
        <f t="shared" si="15"/>
        <v>0</v>
      </c>
      <c r="AC41" s="54">
        <f t="shared" si="15"/>
        <v>0</v>
      </c>
    </row>
    <row r="42" spans="1:29">
      <c r="A42" s="59"/>
      <c r="B42" s="49"/>
      <c r="C42" s="49">
        <f t="shared" si="4"/>
        <v>0</v>
      </c>
      <c r="D42" s="49">
        <f t="shared" ref="D42:AC42" si="16">SUM(C42*1.02)</f>
        <v>0</v>
      </c>
      <c r="E42" s="49">
        <f t="shared" si="16"/>
        <v>0</v>
      </c>
      <c r="F42" s="49">
        <f t="shared" si="16"/>
        <v>0</v>
      </c>
      <c r="G42" s="49">
        <f t="shared" si="16"/>
        <v>0</v>
      </c>
      <c r="H42" s="49">
        <f t="shared" si="16"/>
        <v>0</v>
      </c>
      <c r="I42" s="49">
        <f t="shared" si="16"/>
        <v>0</v>
      </c>
      <c r="J42" s="49">
        <f t="shared" si="16"/>
        <v>0</v>
      </c>
      <c r="K42" s="49">
        <f t="shared" si="16"/>
        <v>0</v>
      </c>
      <c r="L42" s="49">
        <f t="shared" si="16"/>
        <v>0</v>
      </c>
      <c r="M42" s="49">
        <f t="shared" si="16"/>
        <v>0</v>
      </c>
      <c r="N42" s="49">
        <f t="shared" si="16"/>
        <v>0</v>
      </c>
      <c r="O42" s="49">
        <f t="shared" si="16"/>
        <v>0</v>
      </c>
      <c r="P42" s="49">
        <f t="shared" si="16"/>
        <v>0</v>
      </c>
      <c r="Q42" s="49">
        <f t="shared" si="16"/>
        <v>0</v>
      </c>
      <c r="R42" s="49">
        <f t="shared" si="16"/>
        <v>0</v>
      </c>
      <c r="S42" s="49">
        <f t="shared" si="16"/>
        <v>0</v>
      </c>
      <c r="T42" s="49">
        <f t="shared" si="16"/>
        <v>0</v>
      </c>
      <c r="U42" s="49">
        <f t="shared" si="16"/>
        <v>0</v>
      </c>
      <c r="V42" s="49">
        <f t="shared" si="16"/>
        <v>0</v>
      </c>
      <c r="W42" s="49">
        <f t="shared" si="16"/>
        <v>0</v>
      </c>
      <c r="X42" s="49">
        <f t="shared" si="16"/>
        <v>0</v>
      </c>
      <c r="Y42" s="49">
        <f t="shared" si="16"/>
        <v>0</v>
      </c>
      <c r="Z42" s="49">
        <f t="shared" si="16"/>
        <v>0</v>
      </c>
      <c r="AA42" s="49">
        <f t="shared" si="16"/>
        <v>0</v>
      </c>
      <c r="AB42" s="49">
        <f t="shared" si="16"/>
        <v>0</v>
      </c>
      <c r="AC42" s="54">
        <f t="shared" si="16"/>
        <v>0</v>
      </c>
    </row>
    <row r="43" spans="1:29">
      <c r="A43" s="59"/>
      <c r="B43" s="49"/>
      <c r="C43" s="49">
        <f t="shared" si="4"/>
        <v>0</v>
      </c>
      <c r="D43" s="49">
        <f t="shared" ref="D43:AC43" si="17">SUM(C43*1.02)</f>
        <v>0</v>
      </c>
      <c r="E43" s="49">
        <f t="shared" si="17"/>
        <v>0</v>
      </c>
      <c r="F43" s="49">
        <f t="shared" si="17"/>
        <v>0</v>
      </c>
      <c r="G43" s="49">
        <f t="shared" si="17"/>
        <v>0</v>
      </c>
      <c r="H43" s="49">
        <f t="shared" si="17"/>
        <v>0</v>
      </c>
      <c r="I43" s="49">
        <f t="shared" si="17"/>
        <v>0</v>
      </c>
      <c r="J43" s="49">
        <f t="shared" si="17"/>
        <v>0</v>
      </c>
      <c r="K43" s="49">
        <f t="shared" si="17"/>
        <v>0</v>
      </c>
      <c r="L43" s="49">
        <f t="shared" si="17"/>
        <v>0</v>
      </c>
      <c r="M43" s="49">
        <f t="shared" si="17"/>
        <v>0</v>
      </c>
      <c r="N43" s="49">
        <f t="shared" si="17"/>
        <v>0</v>
      </c>
      <c r="O43" s="49">
        <f t="shared" si="17"/>
        <v>0</v>
      </c>
      <c r="P43" s="49">
        <f t="shared" si="17"/>
        <v>0</v>
      </c>
      <c r="Q43" s="49">
        <f t="shared" si="17"/>
        <v>0</v>
      </c>
      <c r="R43" s="49">
        <f t="shared" si="17"/>
        <v>0</v>
      </c>
      <c r="S43" s="49">
        <f t="shared" si="17"/>
        <v>0</v>
      </c>
      <c r="T43" s="49">
        <f t="shared" si="17"/>
        <v>0</v>
      </c>
      <c r="U43" s="49">
        <f t="shared" si="17"/>
        <v>0</v>
      </c>
      <c r="V43" s="49">
        <f t="shared" si="17"/>
        <v>0</v>
      </c>
      <c r="W43" s="49">
        <f t="shared" si="17"/>
        <v>0</v>
      </c>
      <c r="X43" s="49">
        <f t="shared" si="17"/>
        <v>0</v>
      </c>
      <c r="Y43" s="49">
        <f t="shared" si="17"/>
        <v>0</v>
      </c>
      <c r="Z43" s="49">
        <f t="shared" si="17"/>
        <v>0</v>
      </c>
      <c r="AA43" s="49">
        <f t="shared" si="17"/>
        <v>0</v>
      </c>
      <c r="AB43" s="49">
        <f t="shared" si="17"/>
        <v>0</v>
      </c>
      <c r="AC43" s="54">
        <f t="shared" si="17"/>
        <v>0</v>
      </c>
    </row>
    <row r="44" spans="1:29">
      <c r="A44" s="59"/>
      <c r="B44" s="49"/>
      <c r="C44" s="49">
        <f t="shared" si="4"/>
        <v>0</v>
      </c>
      <c r="D44" s="49">
        <f t="shared" ref="D44:AC44" si="18">SUM(C44*1.02)</f>
        <v>0</v>
      </c>
      <c r="E44" s="49">
        <f t="shared" si="18"/>
        <v>0</v>
      </c>
      <c r="F44" s="49">
        <f t="shared" si="18"/>
        <v>0</v>
      </c>
      <c r="G44" s="49">
        <f t="shared" si="18"/>
        <v>0</v>
      </c>
      <c r="H44" s="49">
        <f t="shared" si="18"/>
        <v>0</v>
      </c>
      <c r="I44" s="49">
        <f t="shared" si="18"/>
        <v>0</v>
      </c>
      <c r="J44" s="49">
        <f t="shared" si="18"/>
        <v>0</v>
      </c>
      <c r="K44" s="49">
        <f t="shared" si="18"/>
        <v>0</v>
      </c>
      <c r="L44" s="49">
        <f t="shared" si="18"/>
        <v>0</v>
      </c>
      <c r="M44" s="49">
        <f t="shared" si="18"/>
        <v>0</v>
      </c>
      <c r="N44" s="49">
        <f t="shared" si="18"/>
        <v>0</v>
      </c>
      <c r="O44" s="49">
        <f t="shared" si="18"/>
        <v>0</v>
      </c>
      <c r="P44" s="49">
        <f t="shared" si="18"/>
        <v>0</v>
      </c>
      <c r="Q44" s="49">
        <f t="shared" si="18"/>
        <v>0</v>
      </c>
      <c r="R44" s="49">
        <f t="shared" si="18"/>
        <v>0</v>
      </c>
      <c r="S44" s="49">
        <f t="shared" si="18"/>
        <v>0</v>
      </c>
      <c r="T44" s="49">
        <f t="shared" si="18"/>
        <v>0</v>
      </c>
      <c r="U44" s="49">
        <f t="shared" si="18"/>
        <v>0</v>
      </c>
      <c r="V44" s="49">
        <f t="shared" si="18"/>
        <v>0</v>
      </c>
      <c r="W44" s="49">
        <f t="shared" si="18"/>
        <v>0</v>
      </c>
      <c r="X44" s="49">
        <f t="shared" si="18"/>
        <v>0</v>
      </c>
      <c r="Y44" s="49">
        <f t="shared" si="18"/>
        <v>0</v>
      </c>
      <c r="Z44" s="49">
        <f t="shared" si="18"/>
        <v>0</v>
      </c>
      <c r="AA44" s="49">
        <f t="shared" si="18"/>
        <v>0</v>
      </c>
      <c r="AB44" s="49">
        <f t="shared" si="18"/>
        <v>0</v>
      </c>
      <c r="AC44" s="54">
        <f t="shared" si="18"/>
        <v>0</v>
      </c>
    </row>
    <row r="45" spans="1:29">
      <c r="A45" s="59"/>
      <c r="B45" s="49"/>
      <c r="C45" s="49">
        <f t="shared" si="4"/>
        <v>0</v>
      </c>
      <c r="D45" s="49">
        <f t="shared" ref="D45:AC45" si="19">SUM(C45*1.02)</f>
        <v>0</v>
      </c>
      <c r="E45" s="49">
        <f t="shared" si="19"/>
        <v>0</v>
      </c>
      <c r="F45" s="49">
        <f t="shared" si="19"/>
        <v>0</v>
      </c>
      <c r="G45" s="49">
        <f t="shared" si="19"/>
        <v>0</v>
      </c>
      <c r="H45" s="49">
        <f t="shared" si="19"/>
        <v>0</v>
      </c>
      <c r="I45" s="49">
        <f t="shared" si="19"/>
        <v>0</v>
      </c>
      <c r="J45" s="49">
        <f t="shared" si="19"/>
        <v>0</v>
      </c>
      <c r="K45" s="49">
        <f t="shared" si="19"/>
        <v>0</v>
      </c>
      <c r="L45" s="49">
        <f t="shared" si="19"/>
        <v>0</v>
      </c>
      <c r="M45" s="49">
        <f t="shared" si="19"/>
        <v>0</v>
      </c>
      <c r="N45" s="49">
        <f t="shared" si="19"/>
        <v>0</v>
      </c>
      <c r="O45" s="49">
        <f t="shared" si="19"/>
        <v>0</v>
      </c>
      <c r="P45" s="49">
        <f t="shared" si="19"/>
        <v>0</v>
      </c>
      <c r="Q45" s="49">
        <f t="shared" si="19"/>
        <v>0</v>
      </c>
      <c r="R45" s="49">
        <f t="shared" si="19"/>
        <v>0</v>
      </c>
      <c r="S45" s="49">
        <f t="shared" si="19"/>
        <v>0</v>
      </c>
      <c r="T45" s="49">
        <f t="shared" si="19"/>
        <v>0</v>
      </c>
      <c r="U45" s="49">
        <f t="shared" si="19"/>
        <v>0</v>
      </c>
      <c r="V45" s="49">
        <f t="shared" si="19"/>
        <v>0</v>
      </c>
      <c r="W45" s="49">
        <f t="shared" si="19"/>
        <v>0</v>
      </c>
      <c r="X45" s="49">
        <f t="shared" si="19"/>
        <v>0</v>
      </c>
      <c r="Y45" s="49">
        <f t="shared" si="19"/>
        <v>0</v>
      </c>
      <c r="Z45" s="49">
        <f t="shared" si="19"/>
        <v>0</v>
      </c>
      <c r="AA45" s="49">
        <f t="shared" si="19"/>
        <v>0</v>
      </c>
      <c r="AB45" s="49">
        <f t="shared" si="19"/>
        <v>0</v>
      </c>
      <c r="AC45" s="54">
        <f t="shared" si="19"/>
        <v>0</v>
      </c>
    </row>
    <row r="46" spans="1:29">
      <c r="A46" s="59"/>
      <c r="B46" s="49"/>
      <c r="C46" s="49">
        <f t="shared" si="4"/>
        <v>0</v>
      </c>
      <c r="D46" s="49">
        <f t="shared" ref="D46:AC46" si="20">SUM(C46*1.02)</f>
        <v>0</v>
      </c>
      <c r="E46" s="49">
        <f t="shared" si="20"/>
        <v>0</v>
      </c>
      <c r="F46" s="49">
        <f t="shared" si="20"/>
        <v>0</v>
      </c>
      <c r="G46" s="49">
        <f t="shared" si="20"/>
        <v>0</v>
      </c>
      <c r="H46" s="49">
        <f t="shared" si="20"/>
        <v>0</v>
      </c>
      <c r="I46" s="49">
        <f t="shared" si="20"/>
        <v>0</v>
      </c>
      <c r="J46" s="49">
        <f t="shared" si="20"/>
        <v>0</v>
      </c>
      <c r="K46" s="49">
        <f t="shared" si="20"/>
        <v>0</v>
      </c>
      <c r="L46" s="49">
        <f t="shared" si="20"/>
        <v>0</v>
      </c>
      <c r="M46" s="49">
        <f t="shared" si="20"/>
        <v>0</v>
      </c>
      <c r="N46" s="49">
        <f t="shared" si="20"/>
        <v>0</v>
      </c>
      <c r="O46" s="49">
        <f t="shared" si="20"/>
        <v>0</v>
      </c>
      <c r="P46" s="49">
        <f t="shared" si="20"/>
        <v>0</v>
      </c>
      <c r="Q46" s="49">
        <f t="shared" si="20"/>
        <v>0</v>
      </c>
      <c r="R46" s="49">
        <f t="shared" si="20"/>
        <v>0</v>
      </c>
      <c r="S46" s="49">
        <f t="shared" si="20"/>
        <v>0</v>
      </c>
      <c r="T46" s="49">
        <f t="shared" si="20"/>
        <v>0</v>
      </c>
      <c r="U46" s="49">
        <f t="shared" si="20"/>
        <v>0</v>
      </c>
      <c r="V46" s="49">
        <f t="shared" si="20"/>
        <v>0</v>
      </c>
      <c r="W46" s="49">
        <f t="shared" si="20"/>
        <v>0</v>
      </c>
      <c r="X46" s="49">
        <f t="shared" si="20"/>
        <v>0</v>
      </c>
      <c r="Y46" s="49">
        <f t="shared" si="20"/>
        <v>0</v>
      </c>
      <c r="Z46" s="49">
        <f t="shared" si="20"/>
        <v>0</v>
      </c>
      <c r="AA46" s="49">
        <f t="shared" si="20"/>
        <v>0</v>
      </c>
      <c r="AB46" s="49">
        <f t="shared" si="20"/>
        <v>0</v>
      </c>
      <c r="AC46" s="54">
        <f t="shared" si="20"/>
        <v>0</v>
      </c>
    </row>
    <row r="47" spans="1:29">
      <c r="A47" s="59"/>
      <c r="B47" s="49"/>
      <c r="C47" s="49">
        <f t="shared" si="4"/>
        <v>0</v>
      </c>
      <c r="D47" s="49">
        <f t="shared" ref="D47:AC47" si="21">SUM(C47*1.02)</f>
        <v>0</v>
      </c>
      <c r="E47" s="49">
        <f t="shared" si="21"/>
        <v>0</v>
      </c>
      <c r="F47" s="49">
        <f t="shared" si="21"/>
        <v>0</v>
      </c>
      <c r="G47" s="49">
        <f t="shared" si="21"/>
        <v>0</v>
      </c>
      <c r="H47" s="49">
        <f t="shared" si="21"/>
        <v>0</v>
      </c>
      <c r="I47" s="49">
        <f t="shared" si="21"/>
        <v>0</v>
      </c>
      <c r="J47" s="49">
        <f t="shared" si="21"/>
        <v>0</v>
      </c>
      <c r="K47" s="49">
        <f t="shared" si="21"/>
        <v>0</v>
      </c>
      <c r="L47" s="49">
        <f t="shared" si="21"/>
        <v>0</v>
      </c>
      <c r="M47" s="49">
        <f t="shared" si="21"/>
        <v>0</v>
      </c>
      <c r="N47" s="49">
        <f t="shared" si="21"/>
        <v>0</v>
      </c>
      <c r="O47" s="49">
        <f t="shared" si="21"/>
        <v>0</v>
      </c>
      <c r="P47" s="49">
        <f t="shared" si="21"/>
        <v>0</v>
      </c>
      <c r="Q47" s="49">
        <f t="shared" si="21"/>
        <v>0</v>
      </c>
      <c r="R47" s="49">
        <f t="shared" si="21"/>
        <v>0</v>
      </c>
      <c r="S47" s="49">
        <f t="shared" si="21"/>
        <v>0</v>
      </c>
      <c r="T47" s="49">
        <f t="shared" si="21"/>
        <v>0</v>
      </c>
      <c r="U47" s="49">
        <f t="shared" si="21"/>
        <v>0</v>
      </c>
      <c r="V47" s="49">
        <f t="shared" si="21"/>
        <v>0</v>
      </c>
      <c r="W47" s="49">
        <f t="shared" si="21"/>
        <v>0</v>
      </c>
      <c r="X47" s="49">
        <f t="shared" si="21"/>
        <v>0</v>
      </c>
      <c r="Y47" s="49">
        <f t="shared" si="21"/>
        <v>0</v>
      </c>
      <c r="Z47" s="49">
        <f t="shared" si="21"/>
        <v>0</v>
      </c>
      <c r="AA47" s="49">
        <f t="shared" si="21"/>
        <v>0</v>
      </c>
      <c r="AB47" s="49">
        <f t="shared" si="21"/>
        <v>0</v>
      </c>
      <c r="AC47" s="54">
        <f t="shared" si="21"/>
        <v>0</v>
      </c>
    </row>
    <row r="48" spans="1:29">
      <c r="A48" s="59"/>
      <c r="B48" s="49"/>
      <c r="C48" s="49">
        <f t="shared" si="4"/>
        <v>0</v>
      </c>
      <c r="D48" s="49">
        <f t="shared" ref="D48:AC48" si="22">SUM(C48*1.02)</f>
        <v>0</v>
      </c>
      <c r="E48" s="49">
        <f t="shared" si="22"/>
        <v>0</v>
      </c>
      <c r="F48" s="49">
        <f t="shared" si="22"/>
        <v>0</v>
      </c>
      <c r="G48" s="49">
        <f t="shared" si="22"/>
        <v>0</v>
      </c>
      <c r="H48" s="49">
        <f t="shared" si="22"/>
        <v>0</v>
      </c>
      <c r="I48" s="49">
        <f t="shared" si="22"/>
        <v>0</v>
      </c>
      <c r="J48" s="49">
        <f t="shared" si="22"/>
        <v>0</v>
      </c>
      <c r="K48" s="49">
        <f t="shared" si="22"/>
        <v>0</v>
      </c>
      <c r="L48" s="49">
        <f t="shared" si="22"/>
        <v>0</v>
      </c>
      <c r="M48" s="49">
        <f t="shared" si="22"/>
        <v>0</v>
      </c>
      <c r="N48" s="49">
        <f t="shared" si="22"/>
        <v>0</v>
      </c>
      <c r="O48" s="49">
        <f t="shared" si="22"/>
        <v>0</v>
      </c>
      <c r="P48" s="49">
        <f t="shared" si="22"/>
        <v>0</v>
      </c>
      <c r="Q48" s="49">
        <f t="shared" si="22"/>
        <v>0</v>
      </c>
      <c r="R48" s="49">
        <f t="shared" si="22"/>
        <v>0</v>
      </c>
      <c r="S48" s="49">
        <f t="shared" si="22"/>
        <v>0</v>
      </c>
      <c r="T48" s="49">
        <f t="shared" si="22"/>
        <v>0</v>
      </c>
      <c r="U48" s="49">
        <f t="shared" si="22"/>
        <v>0</v>
      </c>
      <c r="V48" s="49">
        <f t="shared" si="22"/>
        <v>0</v>
      </c>
      <c r="W48" s="49">
        <f t="shared" si="22"/>
        <v>0</v>
      </c>
      <c r="X48" s="49">
        <f t="shared" si="22"/>
        <v>0</v>
      </c>
      <c r="Y48" s="49">
        <f t="shared" si="22"/>
        <v>0</v>
      </c>
      <c r="Z48" s="49">
        <f t="shared" si="22"/>
        <v>0</v>
      </c>
      <c r="AA48" s="49">
        <f t="shared" si="22"/>
        <v>0</v>
      </c>
      <c r="AB48" s="49">
        <f t="shared" si="22"/>
        <v>0</v>
      </c>
      <c r="AC48" s="54">
        <f t="shared" si="22"/>
        <v>0</v>
      </c>
    </row>
    <row r="49" spans="1:29">
      <c r="A49" s="59"/>
      <c r="B49" s="49"/>
      <c r="C49" s="49">
        <f t="shared" si="4"/>
        <v>0</v>
      </c>
      <c r="D49" s="49">
        <f t="shared" ref="D49:AC49" si="23">SUM(C49*1.02)</f>
        <v>0</v>
      </c>
      <c r="E49" s="49">
        <f t="shared" si="23"/>
        <v>0</v>
      </c>
      <c r="F49" s="49">
        <f t="shared" si="23"/>
        <v>0</v>
      </c>
      <c r="G49" s="49">
        <f t="shared" si="23"/>
        <v>0</v>
      </c>
      <c r="H49" s="49">
        <f t="shared" si="23"/>
        <v>0</v>
      </c>
      <c r="I49" s="49">
        <f t="shared" si="23"/>
        <v>0</v>
      </c>
      <c r="J49" s="49">
        <f t="shared" si="23"/>
        <v>0</v>
      </c>
      <c r="K49" s="49">
        <f t="shared" si="23"/>
        <v>0</v>
      </c>
      <c r="L49" s="49">
        <f t="shared" si="23"/>
        <v>0</v>
      </c>
      <c r="M49" s="49">
        <f t="shared" si="23"/>
        <v>0</v>
      </c>
      <c r="N49" s="49">
        <f t="shared" si="23"/>
        <v>0</v>
      </c>
      <c r="O49" s="49">
        <f t="shared" si="23"/>
        <v>0</v>
      </c>
      <c r="P49" s="49">
        <f t="shared" si="23"/>
        <v>0</v>
      </c>
      <c r="Q49" s="49">
        <f t="shared" si="23"/>
        <v>0</v>
      </c>
      <c r="R49" s="49">
        <f t="shared" si="23"/>
        <v>0</v>
      </c>
      <c r="S49" s="49">
        <f t="shared" si="23"/>
        <v>0</v>
      </c>
      <c r="T49" s="49">
        <f t="shared" si="23"/>
        <v>0</v>
      </c>
      <c r="U49" s="49">
        <f t="shared" si="23"/>
        <v>0</v>
      </c>
      <c r="V49" s="49">
        <f t="shared" si="23"/>
        <v>0</v>
      </c>
      <c r="W49" s="49">
        <f t="shared" si="23"/>
        <v>0</v>
      </c>
      <c r="X49" s="49">
        <f t="shared" si="23"/>
        <v>0</v>
      </c>
      <c r="Y49" s="49">
        <f t="shared" si="23"/>
        <v>0</v>
      </c>
      <c r="Z49" s="49">
        <f t="shared" si="23"/>
        <v>0</v>
      </c>
      <c r="AA49" s="49">
        <f t="shared" si="23"/>
        <v>0</v>
      </c>
      <c r="AB49" s="49">
        <f t="shared" si="23"/>
        <v>0</v>
      </c>
      <c r="AC49" s="54">
        <f t="shared" si="23"/>
        <v>0</v>
      </c>
    </row>
    <row r="50" spans="1:29">
      <c r="A50" s="59"/>
      <c r="B50" s="49"/>
      <c r="C50" s="49">
        <f t="shared" si="4"/>
        <v>0</v>
      </c>
      <c r="D50" s="49">
        <f t="shared" ref="D50:AC50" si="24">SUM(C50*1.02)</f>
        <v>0</v>
      </c>
      <c r="E50" s="49">
        <f t="shared" si="24"/>
        <v>0</v>
      </c>
      <c r="F50" s="49">
        <f t="shared" si="24"/>
        <v>0</v>
      </c>
      <c r="G50" s="49">
        <f t="shared" si="24"/>
        <v>0</v>
      </c>
      <c r="H50" s="49">
        <f t="shared" si="24"/>
        <v>0</v>
      </c>
      <c r="I50" s="49">
        <f t="shared" si="24"/>
        <v>0</v>
      </c>
      <c r="J50" s="49">
        <f t="shared" si="24"/>
        <v>0</v>
      </c>
      <c r="K50" s="49">
        <f t="shared" si="24"/>
        <v>0</v>
      </c>
      <c r="L50" s="49">
        <f t="shared" si="24"/>
        <v>0</v>
      </c>
      <c r="M50" s="49">
        <f t="shared" si="24"/>
        <v>0</v>
      </c>
      <c r="N50" s="49">
        <f t="shared" si="24"/>
        <v>0</v>
      </c>
      <c r="O50" s="49">
        <f t="shared" si="24"/>
        <v>0</v>
      </c>
      <c r="P50" s="49">
        <f t="shared" si="24"/>
        <v>0</v>
      </c>
      <c r="Q50" s="49">
        <f t="shared" si="24"/>
        <v>0</v>
      </c>
      <c r="R50" s="49">
        <f t="shared" si="24"/>
        <v>0</v>
      </c>
      <c r="S50" s="49">
        <f t="shared" si="24"/>
        <v>0</v>
      </c>
      <c r="T50" s="49">
        <f t="shared" si="24"/>
        <v>0</v>
      </c>
      <c r="U50" s="49">
        <f t="shared" si="24"/>
        <v>0</v>
      </c>
      <c r="V50" s="49">
        <f t="shared" si="24"/>
        <v>0</v>
      </c>
      <c r="W50" s="49">
        <f t="shared" si="24"/>
        <v>0</v>
      </c>
      <c r="X50" s="49">
        <f t="shared" si="24"/>
        <v>0</v>
      </c>
      <c r="Y50" s="49">
        <f t="shared" si="24"/>
        <v>0</v>
      </c>
      <c r="Z50" s="49">
        <f t="shared" si="24"/>
        <v>0</v>
      </c>
      <c r="AA50" s="49">
        <f t="shared" si="24"/>
        <v>0</v>
      </c>
      <c r="AB50" s="49">
        <f t="shared" si="24"/>
        <v>0</v>
      </c>
      <c r="AC50" s="54">
        <f t="shared" si="24"/>
        <v>0</v>
      </c>
    </row>
    <row r="51" spans="1:29">
      <c r="A51" s="59"/>
      <c r="B51" s="49"/>
      <c r="C51" s="49">
        <f t="shared" si="4"/>
        <v>0</v>
      </c>
      <c r="D51" s="49">
        <f t="shared" ref="D51:AC51" si="25">SUM(C51*1.02)</f>
        <v>0</v>
      </c>
      <c r="E51" s="49">
        <f t="shared" si="25"/>
        <v>0</v>
      </c>
      <c r="F51" s="49">
        <f t="shared" si="25"/>
        <v>0</v>
      </c>
      <c r="G51" s="49">
        <f t="shared" si="25"/>
        <v>0</v>
      </c>
      <c r="H51" s="49">
        <f t="shared" si="25"/>
        <v>0</v>
      </c>
      <c r="I51" s="49">
        <f t="shared" si="25"/>
        <v>0</v>
      </c>
      <c r="J51" s="49">
        <f t="shared" si="25"/>
        <v>0</v>
      </c>
      <c r="K51" s="49">
        <f t="shared" si="25"/>
        <v>0</v>
      </c>
      <c r="L51" s="49">
        <f t="shared" si="25"/>
        <v>0</v>
      </c>
      <c r="M51" s="49">
        <f t="shared" si="25"/>
        <v>0</v>
      </c>
      <c r="N51" s="49">
        <f t="shared" si="25"/>
        <v>0</v>
      </c>
      <c r="O51" s="49">
        <f t="shared" si="25"/>
        <v>0</v>
      </c>
      <c r="P51" s="49">
        <f t="shared" si="25"/>
        <v>0</v>
      </c>
      <c r="Q51" s="49">
        <f t="shared" si="25"/>
        <v>0</v>
      </c>
      <c r="R51" s="49">
        <f t="shared" si="25"/>
        <v>0</v>
      </c>
      <c r="S51" s="49">
        <f t="shared" si="25"/>
        <v>0</v>
      </c>
      <c r="T51" s="49">
        <f t="shared" si="25"/>
        <v>0</v>
      </c>
      <c r="U51" s="49">
        <f t="shared" si="25"/>
        <v>0</v>
      </c>
      <c r="V51" s="49">
        <f t="shared" si="25"/>
        <v>0</v>
      </c>
      <c r="W51" s="49">
        <f t="shared" si="25"/>
        <v>0</v>
      </c>
      <c r="X51" s="49">
        <f t="shared" si="25"/>
        <v>0</v>
      </c>
      <c r="Y51" s="49">
        <f t="shared" si="25"/>
        <v>0</v>
      </c>
      <c r="Z51" s="49">
        <f t="shared" si="25"/>
        <v>0</v>
      </c>
      <c r="AA51" s="49">
        <f t="shared" si="25"/>
        <v>0</v>
      </c>
      <c r="AB51" s="49">
        <f t="shared" si="25"/>
        <v>0</v>
      </c>
      <c r="AC51" s="54">
        <f t="shared" si="25"/>
        <v>0</v>
      </c>
    </row>
    <row r="52" spans="1:29">
      <c r="A52" s="59"/>
      <c r="B52" s="49"/>
      <c r="C52" s="49">
        <f t="shared" si="4"/>
        <v>0</v>
      </c>
      <c r="D52" s="49">
        <f t="shared" ref="D52:AC52" si="26">SUM(C52*1.02)</f>
        <v>0</v>
      </c>
      <c r="E52" s="49">
        <f t="shared" si="26"/>
        <v>0</v>
      </c>
      <c r="F52" s="49">
        <f t="shared" si="26"/>
        <v>0</v>
      </c>
      <c r="G52" s="49">
        <f t="shared" si="26"/>
        <v>0</v>
      </c>
      <c r="H52" s="49">
        <f t="shared" si="26"/>
        <v>0</v>
      </c>
      <c r="I52" s="49">
        <f t="shared" si="26"/>
        <v>0</v>
      </c>
      <c r="J52" s="49">
        <f t="shared" si="26"/>
        <v>0</v>
      </c>
      <c r="K52" s="49">
        <f t="shared" si="26"/>
        <v>0</v>
      </c>
      <c r="L52" s="49">
        <f t="shared" si="26"/>
        <v>0</v>
      </c>
      <c r="M52" s="49">
        <f t="shared" si="26"/>
        <v>0</v>
      </c>
      <c r="N52" s="49">
        <f t="shared" si="26"/>
        <v>0</v>
      </c>
      <c r="O52" s="49">
        <f t="shared" si="26"/>
        <v>0</v>
      </c>
      <c r="P52" s="49">
        <f t="shared" si="26"/>
        <v>0</v>
      </c>
      <c r="Q52" s="49">
        <f t="shared" si="26"/>
        <v>0</v>
      </c>
      <c r="R52" s="49">
        <f t="shared" si="26"/>
        <v>0</v>
      </c>
      <c r="S52" s="49">
        <f t="shared" si="26"/>
        <v>0</v>
      </c>
      <c r="T52" s="49">
        <f t="shared" si="26"/>
        <v>0</v>
      </c>
      <c r="U52" s="49">
        <f t="shared" si="26"/>
        <v>0</v>
      </c>
      <c r="V52" s="49">
        <f t="shared" si="26"/>
        <v>0</v>
      </c>
      <c r="W52" s="49">
        <f t="shared" si="26"/>
        <v>0</v>
      </c>
      <c r="X52" s="49">
        <f t="shared" si="26"/>
        <v>0</v>
      </c>
      <c r="Y52" s="49">
        <f t="shared" si="26"/>
        <v>0</v>
      </c>
      <c r="Z52" s="49">
        <f t="shared" si="26"/>
        <v>0</v>
      </c>
      <c r="AA52" s="49">
        <f t="shared" si="26"/>
        <v>0</v>
      </c>
      <c r="AB52" s="49">
        <f t="shared" si="26"/>
        <v>0</v>
      </c>
      <c r="AC52" s="54">
        <f t="shared" si="26"/>
        <v>0</v>
      </c>
    </row>
    <row r="53" spans="1:29">
      <c r="A53" s="59"/>
      <c r="B53" s="49"/>
      <c r="C53" s="49">
        <f t="shared" si="4"/>
        <v>0</v>
      </c>
      <c r="D53" s="49">
        <f t="shared" ref="D53:AC53" si="27">SUM(C53*1.02)</f>
        <v>0</v>
      </c>
      <c r="E53" s="49">
        <f t="shared" si="27"/>
        <v>0</v>
      </c>
      <c r="F53" s="49">
        <f t="shared" si="27"/>
        <v>0</v>
      </c>
      <c r="G53" s="49">
        <f t="shared" si="27"/>
        <v>0</v>
      </c>
      <c r="H53" s="49">
        <f t="shared" si="27"/>
        <v>0</v>
      </c>
      <c r="I53" s="49">
        <f t="shared" si="27"/>
        <v>0</v>
      </c>
      <c r="J53" s="49">
        <f t="shared" si="27"/>
        <v>0</v>
      </c>
      <c r="K53" s="49">
        <f t="shared" si="27"/>
        <v>0</v>
      </c>
      <c r="L53" s="49">
        <f t="shared" si="27"/>
        <v>0</v>
      </c>
      <c r="M53" s="49">
        <f t="shared" si="27"/>
        <v>0</v>
      </c>
      <c r="N53" s="49">
        <f t="shared" si="27"/>
        <v>0</v>
      </c>
      <c r="O53" s="49">
        <f t="shared" si="27"/>
        <v>0</v>
      </c>
      <c r="P53" s="49">
        <f t="shared" si="27"/>
        <v>0</v>
      </c>
      <c r="Q53" s="49">
        <f t="shared" si="27"/>
        <v>0</v>
      </c>
      <c r="R53" s="49">
        <f t="shared" si="27"/>
        <v>0</v>
      </c>
      <c r="S53" s="49">
        <f t="shared" si="27"/>
        <v>0</v>
      </c>
      <c r="T53" s="49">
        <f t="shared" si="27"/>
        <v>0</v>
      </c>
      <c r="U53" s="49">
        <f t="shared" si="27"/>
        <v>0</v>
      </c>
      <c r="V53" s="49">
        <f t="shared" si="27"/>
        <v>0</v>
      </c>
      <c r="W53" s="49">
        <f t="shared" si="27"/>
        <v>0</v>
      </c>
      <c r="X53" s="49">
        <f t="shared" si="27"/>
        <v>0</v>
      </c>
      <c r="Y53" s="49">
        <f t="shared" si="27"/>
        <v>0</v>
      </c>
      <c r="Z53" s="49">
        <f t="shared" si="27"/>
        <v>0</v>
      </c>
      <c r="AA53" s="49">
        <f t="shared" si="27"/>
        <v>0</v>
      </c>
      <c r="AB53" s="49">
        <f t="shared" si="27"/>
        <v>0</v>
      </c>
      <c r="AC53" s="54">
        <f t="shared" si="27"/>
        <v>0</v>
      </c>
    </row>
    <row r="54" spans="1:29">
      <c r="A54" s="59"/>
      <c r="B54" s="49"/>
      <c r="C54" s="49">
        <f t="shared" si="4"/>
        <v>0</v>
      </c>
      <c r="D54" s="49">
        <f t="shared" ref="D54:AC54" si="28">SUM(C54*1.02)</f>
        <v>0</v>
      </c>
      <c r="E54" s="49">
        <f t="shared" si="28"/>
        <v>0</v>
      </c>
      <c r="F54" s="49">
        <f t="shared" si="28"/>
        <v>0</v>
      </c>
      <c r="G54" s="49">
        <f t="shared" si="28"/>
        <v>0</v>
      </c>
      <c r="H54" s="49">
        <f t="shared" si="28"/>
        <v>0</v>
      </c>
      <c r="I54" s="49">
        <f t="shared" si="28"/>
        <v>0</v>
      </c>
      <c r="J54" s="49">
        <f t="shared" si="28"/>
        <v>0</v>
      </c>
      <c r="K54" s="49">
        <f t="shared" si="28"/>
        <v>0</v>
      </c>
      <c r="L54" s="49">
        <f t="shared" si="28"/>
        <v>0</v>
      </c>
      <c r="M54" s="49">
        <f t="shared" si="28"/>
        <v>0</v>
      </c>
      <c r="N54" s="49">
        <f t="shared" si="28"/>
        <v>0</v>
      </c>
      <c r="O54" s="49">
        <f t="shared" si="28"/>
        <v>0</v>
      </c>
      <c r="P54" s="49">
        <f t="shared" si="28"/>
        <v>0</v>
      </c>
      <c r="Q54" s="49">
        <f t="shared" si="28"/>
        <v>0</v>
      </c>
      <c r="R54" s="49">
        <f t="shared" si="28"/>
        <v>0</v>
      </c>
      <c r="S54" s="49">
        <f t="shared" si="28"/>
        <v>0</v>
      </c>
      <c r="T54" s="49">
        <f t="shared" si="28"/>
        <v>0</v>
      </c>
      <c r="U54" s="49">
        <f t="shared" si="28"/>
        <v>0</v>
      </c>
      <c r="V54" s="49">
        <f t="shared" si="28"/>
        <v>0</v>
      </c>
      <c r="W54" s="49">
        <f t="shared" si="28"/>
        <v>0</v>
      </c>
      <c r="X54" s="49">
        <f t="shared" si="28"/>
        <v>0</v>
      </c>
      <c r="Y54" s="49">
        <f t="shared" si="28"/>
        <v>0</v>
      </c>
      <c r="Z54" s="49">
        <f t="shared" si="28"/>
        <v>0</v>
      </c>
      <c r="AA54" s="49">
        <f t="shared" si="28"/>
        <v>0</v>
      </c>
      <c r="AB54" s="49">
        <f t="shared" si="28"/>
        <v>0</v>
      </c>
      <c r="AC54" s="54">
        <f t="shared" si="28"/>
        <v>0</v>
      </c>
    </row>
    <row r="55" spans="1:29">
      <c r="A55" s="59"/>
      <c r="B55" s="49"/>
      <c r="C55" s="49">
        <f t="shared" si="4"/>
        <v>0</v>
      </c>
      <c r="D55" s="49">
        <f t="shared" ref="D55:AC55" si="29">SUM(C55*1.02)</f>
        <v>0</v>
      </c>
      <c r="E55" s="49">
        <f t="shared" si="29"/>
        <v>0</v>
      </c>
      <c r="F55" s="49">
        <f t="shared" si="29"/>
        <v>0</v>
      </c>
      <c r="G55" s="49">
        <f t="shared" si="29"/>
        <v>0</v>
      </c>
      <c r="H55" s="49">
        <f t="shared" si="29"/>
        <v>0</v>
      </c>
      <c r="I55" s="49">
        <f t="shared" si="29"/>
        <v>0</v>
      </c>
      <c r="J55" s="49">
        <f t="shared" si="29"/>
        <v>0</v>
      </c>
      <c r="K55" s="49">
        <f t="shared" si="29"/>
        <v>0</v>
      </c>
      <c r="L55" s="49">
        <f t="shared" si="29"/>
        <v>0</v>
      </c>
      <c r="M55" s="49">
        <f t="shared" si="29"/>
        <v>0</v>
      </c>
      <c r="N55" s="49">
        <f t="shared" si="29"/>
        <v>0</v>
      </c>
      <c r="O55" s="49">
        <f t="shared" si="29"/>
        <v>0</v>
      </c>
      <c r="P55" s="49">
        <f t="shared" si="29"/>
        <v>0</v>
      </c>
      <c r="Q55" s="49">
        <f t="shared" si="29"/>
        <v>0</v>
      </c>
      <c r="R55" s="49">
        <f t="shared" si="29"/>
        <v>0</v>
      </c>
      <c r="S55" s="49">
        <f t="shared" si="29"/>
        <v>0</v>
      </c>
      <c r="T55" s="49">
        <f t="shared" si="29"/>
        <v>0</v>
      </c>
      <c r="U55" s="49">
        <f t="shared" si="29"/>
        <v>0</v>
      </c>
      <c r="V55" s="49">
        <f t="shared" si="29"/>
        <v>0</v>
      </c>
      <c r="W55" s="49">
        <f t="shared" si="29"/>
        <v>0</v>
      </c>
      <c r="X55" s="49">
        <f t="shared" si="29"/>
        <v>0</v>
      </c>
      <c r="Y55" s="49">
        <f t="shared" si="29"/>
        <v>0</v>
      </c>
      <c r="Z55" s="49">
        <f t="shared" si="29"/>
        <v>0</v>
      </c>
      <c r="AA55" s="49">
        <f t="shared" si="29"/>
        <v>0</v>
      </c>
      <c r="AB55" s="49">
        <f t="shared" si="29"/>
        <v>0</v>
      </c>
      <c r="AC55" s="54">
        <f t="shared" si="29"/>
        <v>0</v>
      </c>
    </row>
    <row r="56" spans="1:29">
      <c r="A56" s="59"/>
      <c r="B56" s="49"/>
      <c r="C56" s="49">
        <f t="shared" si="4"/>
        <v>0</v>
      </c>
      <c r="D56" s="49">
        <f t="shared" ref="D56:AC56" si="30">SUM(C56*1.02)</f>
        <v>0</v>
      </c>
      <c r="E56" s="49">
        <f t="shared" si="30"/>
        <v>0</v>
      </c>
      <c r="F56" s="49">
        <f t="shared" si="30"/>
        <v>0</v>
      </c>
      <c r="G56" s="49">
        <f t="shared" si="30"/>
        <v>0</v>
      </c>
      <c r="H56" s="49">
        <f t="shared" si="30"/>
        <v>0</v>
      </c>
      <c r="I56" s="49">
        <f t="shared" si="30"/>
        <v>0</v>
      </c>
      <c r="J56" s="49">
        <f t="shared" si="30"/>
        <v>0</v>
      </c>
      <c r="K56" s="49">
        <f t="shared" si="30"/>
        <v>0</v>
      </c>
      <c r="L56" s="49">
        <f t="shared" si="30"/>
        <v>0</v>
      </c>
      <c r="M56" s="49">
        <f t="shared" si="30"/>
        <v>0</v>
      </c>
      <c r="N56" s="49">
        <f t="shared" si="30"/>
        <v>0</v>
      </c>
      <c r="O56" s="49">
        <f t="shared" si="30"/>
        <v>0</v>
      </c>
      <c r="P56" s="49">
        <f t="shared" si="30"/>
        <v>0</v>
      </c>
      <c r="Q56" s="49">
        <f t="shared" si="30"/>
        <v>0</v>
      </c>
      <c r="R56" s="49">
        <f t="shared" si="30"/>
        <v>0</v>
      </c>
      <c r="S56" s="49">
        <f t="shared" si="30"/>
        <v>0</v>
      </c>
      <c r="T56" s="49">
        <f t="shared" si="30"/>
        <v>0</v>
      </c>
      <c r="U56" s="49">
        <f t="shared" si="30"/>
        <v>0</v>
      </c>
      <c r="V56" s="49">
        <f t="shared" si="30"/>
        <v>0</v>
      </c>
      <c r="W56" s="49">
        <f t="shared" si="30"/>
        <v>0</v>
      </c>
      <c r="X56" s="49">
        <f t="shared" si="30"/>
        <v>0</v>
      </c>
      <c r="Y56" s="49">
        <f t="shared" si="30"/>
        <v>0</v>
      </c>
      <c r="Z56" s="49">
        <f t="shared" si="30"/>
        <v>0</v>
      </c>
      <c r="AA56" s="49">
        <f t="shared" si="30"/>
        <v>0</v>
      </c>
      <c r="AB56" s="49">
        <f t="shared" si="30"/>
        <v>0</v>
      </c>
      <c r="AC56" s="54">
        <f t="shared" si="30"/>
        <v>0</v>
      </c>
    </row>
    <row r="57" spans="1:29">
      <c r="A57" s="59"/>
      <c r="B57" s="49"/>
      <c r="C57" s="49">
        <f t="shared" si="4"/>
        <v>0</v>
      </c>
      <c r="D57" s="49">
        <f t="shared" ref="D57:AC57" si="31">SUM(C57*1.02)</f>
        <v>0</v>
      </c>
      <c r="E57" s="49">
        <f t="shared" si="31"/>
        <v>0</v>
      </c>
      <c r="F57" s="49">
        <f t="shared" si="31"/>
        <v>0</v>
      </c>
      <c r="G57" s="49">
        <f t="shared" si="31"/>
        <v>0</v>
      </c>
      <c r="H57" s="49">
        <f t="shared" si="31"/>
        <v>0</v>
      </c>
      <c r="I57" s="49">
        <f t="shared" si="31"/>
        <v>0</v>
      </c>
      <c r="J57" s="49">
        <f t="shared" si="31"/>
        <v>0</v>
      </c>
      <c r="K57" s="49">
        <f t="shared" si="31"/>
        <v>0</v>
      </c>
      <c r="L57" s="49">
        <f t="shared" si="31"/>
        <v>0</v>
      </c>
      <c r="M57" s="49">
        <f t="shared" si="31"/>
        <v>0</v>
      </c>
      <c r="N57" s="49">
        <f t="shared" si="31"/>
        <v>0</v>
      </c>
      <c r="O57" s="49">
        <f t="shared" si="31"/>
        <v>0</v>
      </c>
      <c r="P57" s="49">
        <f t="shared" si="31"/>
        <v>0</v>
      </c>
      <c r="Q57" s="49">
        <f t="shared" si="31"/>
        <v>0</v>
      </c>
      <c r="R57" s="49">
        <f t="shared" si="31"/>
        <v>0</v>
      </c>
      <c r="S57" s="49">
        <f t="shared" si="31"/>
        <v>0</v>
      </c>
      <c r="T57" s="49">
        <f t="shared" si="31"/>
        <v>0</v>
      </c>
      <c r="U57" s="49">
        <f t="shared" si="31"/>
        <v>0</v>
      </c>
      <c r="V57" s="49">
        <f t="shared" si="31"/>
        <v>0</v>
      </c>
      <c r="W57" s="49">
        <f t="shared" si="31"/>
        <v>0</v>
      </c>
      <c r="X57" s="49">
        <f t="shared" si="31"/>
        <v>0</v>
      </c>
      <c r="Y57" s="49">
        <f t="shared" si="31"/>
        <v>0</v>
      </c>
      <c r="Z57" s="49">
        <f t="shared" si="31"/>
        <v>0</v>
      </c>
      <c r="AA57" s="49">
        <f t="shared" si="31"/>
        <v>0</v>
      </c>
      <c r="AB57" s="49">
        <f t="shared" si="31"/>
        <v>0</v>
      </c>
      <c r="AC57" s="54">
        <f t="shared" si="31"/>
        <v>0</v>
      </c>
    </row>
    <row r="58" spans="1:29">
      <c r="A58" s="59"/>
      <c r="B58" s="49"/>
      <c r="C58" s="49">
        <f t="shared" si="4"/>
        <v>0</v>
      </c>
      <c r="D58" s="49">
        <f t="shared" ref="D58:AC58" si="32">SUM(C58*1.02)</f>
        <v>0</v>
      </c>
      <c r="E58" s="49">
        <f t="shared" si="32"/>
        <v>0</v>
      </c>
      <c r="F58" s="49">
        <f t="shared" si="32"/>
        <v>0</v>
      </c>
      <c r="G58" s="49">
        <f t="shared" si="32"/>
        <v>0</v>
      </c>
      <c r="H58" s="49">
        <f t="shared" si="32"/>
        <v>0</v>
      </c>
      <c r="I58" s="49">
        <f t="shared" si="32"/>
        <v>0</v>
      </c>
      <c r="J58" s="49">
        <f t="shared" si="32"/>
        <v>0</v>
      </c>
      <c r="K58" s="49">
        <f t="shared" si="32"/>
        <v>0</v>
      </c>
      <c r="L58" s="49">
        <f t="shared" si="32"/>
        <v>0</v>
      </c>
      <c r="M58" s="49">
        <f t="shared" si="32"/>
        <v>0</v>
      </c>
      <c r="N58" s="49">
        <f t="shared" si="32"/>
        <v>0</v>
      </c>
      <c r="O58" s="49">
        <f t="shared" si="32"/>
        <v>0</v>
      </c>
      <c r="P58" s="49">
        <f t="shared" si="32"/>
        <v>0</v>
      </c>
      <c r="Q58" s="49">
        <f t="shared" si="32"/>
        <v>0</v>
      </c>
      <c r="R58" s="49">
        <f t="shared" si="32"/>
        <v>0</v>
      </c>
      <c r="S58" s="49">
        <f t="shared" si="32"/>
        <v>0</v>
      </c>
      <c r="T58" s="49">
        <f t="shared" si="32"/>
        <v>0</v>
      </c>
      <c r="U58" s="49">
        <f t="shared" si="32"/>
        <v>0</v>
      </c>
      <c r="V58" s="49">
        <f t="shared" si="32"/>
        <v>0</v>
      </c>
      <c r="W58" s="49">
        <f t="shared" si="32"/>
        <v>0</v>
      </c>
      <c r="X58" s="49">
        <f t="shared" si="32"/>
        <v>0</v>
      </c>
      <c r="Y58" s="49">
        <f t="shared" si="32"/>
        <v>0</v>
      </c>
      <c r="Z58" s="49">
        <f t="shared" si="32"/>
        <v>0</v>
      </c>
      <c r="AA58" s="49">
        <f t="shared" si="32"/>
        <v>0</v>
      </c>
      <c r="AB58" s="49">
        <f t="shared" si="32"/>
        <v>0</v>
      </c>
      <c r="AC58" s="54">
        <f t="shared" si="32"/>
        <v>0</v>
      </c>
    </row>
    <row r="59" spans="1:29">
      <c r="A59" s="59"/>
      <c r="B59" s="49"/>
      <c r="C59" s="49">
        <f t="shared" si="4"/>
        <v>0</v>
      </c>
      <c r="D59" s="49">
        <f t="shared" ref="D59:AC59" si="33">SUM(C59*1.02)</f>
        <v>0</v>
      </c>
      <c r="E59" s="49">
        <f t="shared" si="33"/>
        <v>0</v>
      </c>
      <c r="F59" s="49">
        <f t="shared" si="33"/>
        <v>0</v>
      </c>
      <c r="G59" s="49">
        <f t="shared" si="33"/>
        <v>0</v>
      </c>
      <c r="H59" s="49">
        <f t="shared" si="33"/>
        <v>0</v>
      </c>
      <c r="I59" s="49">
        <f t="shared" si="33"/>
        <v>0</v>
      </c>
      <c r="J59" s="49">
        <f t="shared" si="33"/>
        <v>0</v>
      </c>
      <c r="K59" s="49">
        <f t="shared" si="33"/>
        <v>0</v>
      </c>
      <c r="L59" s="49">
        <f t="shared" si="33"/>
        <v>0</v>
      </c>
      <c r="M59" s="49">
        <f t="shared" si="33"/>
        <v>0</v>
      </c>
      <c r="N59" s="49">
        <f t="shared" si="33"/>
        <v>0</v>
      </c>
      <c r="O59" s="49">
        <f t="shared" si="33"/>
        <v>0</v>
      </c>
      <c r="P59" s="49">
        <f t="shared" si="33"/>
        <v>0</v>
      </c>
      <c r="Q59" s="49">
        <f t="shared" si="33"/>
        <v>0</v>
      </c>
      <c r="R59" s="49">
        <f t="shared" si="33"/>
        <v>0</v>
      </c>
      <c r="S59" s="49">
        <f t="shared" si="33"/>
        <v>0</v>
      </c>
      <c r="T59" s="49">
        <f t="shared" si="33"/>
        <v>0</v>
      </c>
      <c r="U59" s="49">
        <f t="shared" si="33"/>
        <v>0</v>
      </c>
      <c r="V59" s="49">
        <f t="shared" si="33"/>
        <v>0</v>
      </c>
      <c r="W59" s="49">
        <f t="shared" si="33"/>
        <v>0</v>
      </c>
      <c r="X59" s="49">
        <f t="shared" si="33"/>
        <v>0</v>
      </c>
      <c r="Y59" s="49">
        <f t="shared" si="33"/>
        <v>0</v>
      </c>
      <c r="Z59" s="49">
        <f t="shared" si="33"/>
        <v>0</v>
      </c>
      <c r="AA59" s="49">
        <f t="shared" si="33"/>
        <v>0</v>
      </c>
      <c r="AB59" s="49">
        <f t="shared" si="33"/>
        <v>0</v>
      </c>
      <c r="AC59" s="54">
        <f t="shared" si="33"/>
        <v>0</v>
      </c>
    </row>
    <row r="60" spans="1:29">
      <c r="A60" s="59"/>
      <c r="B60" s="49"/>
      <c r="C60" s="49">
        <f t="shared" si="4"/>
        <v>0</v>
      </c>
      <c r="D60" s="49">
        <f t="shared" ref="D60:AC60" si="34">SUM(C60*1.02)</f>
        <v>0</v>
      </c>
      <c r="E60" s="49">
        <f t="shared" si="34"/>
        <v>0</v>
      </c>
      <c r="F60" s="49">
        <f t="shared" si="34"/>
        <v>0</v>
      </c>
      <c r="G60" s="49">
        <f t="shared" si="34"/>
        <v>0</v>
      </c>
      <c r="H60" s="49">
        <f t="shared" si="34"/>
        <v>0</v>
      </c>
      <c r="I60" s="49">
        <f t="shared" si="34"/>
        <v>0</v>
      </c>
      <c r="J60" s="49">
        <f t="shared" si="34"/>
        <v>0</v>
      </c>
      <c r="K60" s="49">
        <f t="shared" si="34"/>
        <v>0</v>
      </c>
      <c r="L60" s="49">
        <f t="shared" si="34"/>
        <v>0</v>
      </c>
      <c r="M60" s="49">
        <f t="shared" si="34"/>
        <v>0</v>
      </c>
      <c r="N60" s="49">
        <f t="shared" si="34"/>
        <v>0</v>
      </c>
      <c r="O60" s="49">
        <f t="shared" si="34"/>
        <v>0</v>
      </c>
      <c r="P60" s="49">
        <f t="shared" si="34"/>
        <v>0</v>
      </c>
      <c r="Q60" s="49">
        <f t="shared" si="34"/>
        <v>0</v>
      </c>
      <c r="R60" s="49">
        <f t="shared" si="34"/>
        <v>0</v>
      </c>
      <c r="S60" s="49">
        <f t="shared" si="34"/>
        <v>0</v>
      </c>
      <c r="T60" s="49">
        <f t="shared" si="34"/>
        <v>0</v>
      </c>
      <c r="U60" s="49">
        <f t="shared" si="34"/>
        <v>0</v>
      </c>
      <c r="V60" s="49">
        <f t="shared" si="34"/>
        <v>0</v>
      </c>
      <c r="W60" s="49">
        <f t="shared" si="34"/>
        <v>0</v>
      </c>
      <c r="X60" s="49">
        <f t="shared" si="34"/>
        <v>0</v>
      </c>
      <c r="Y60" s="49">
        <f t="shared" si="34"/>
        <v>0</v>
      </c>
      <c r="Z60" s="49">
        <f t="shared" si="34"/>
        <v>0</v>
      </c>
      <c r="AA60" s="49">
        <f t="shared" si="34"/>
        <v>0</v>
      </c>
      <c r="AB60" s="49">
        <f t="shared" si="34"/>
        <v>0</v>
      </c>
      <c r="AC60" s="54">
        <f t="shared" si="34"/>
        <v>0</v>
      </c>
    </row>
    <row r="61" spans="1:29">
      <c r="A61" s="59"/>
      <c r="B61" s="49"/>
      <c r="C61" s="49">
        <f t="shared" si="4"/>
        <v>0</v>
      </c>
      <c r="D61" s="49">
        <f t="shared" ref="D61:AC61" si="35">SUM(C61*1.02)</f>
        <v>0</v>
      </c>
      <c r="E61" s="49">
        <f t="shared" si="35"/>
        <v>0</v>
      </c>
      <c r="F61" s="49">
        <f t="shared" si="35"/>
        <v>0</v>
      </c>
      <c r="G61" s="49">
        <f t="shared" si="35"/>
        <v>0</v>
      </c>
      <c r="H61" s="49">
        <f t="shared" si="35"/>
        <v>0</v>
      </c>
      <c r="I61" s="49">
        <f t="shared" si="35"/>
        <v>0</v>
      </c>
      <c r="J61" s="49">
        <f t="shared" si="35"/>
        <v>0</v>
      </c>
      <c r="K61" s="49">
        <f t="shared" si="35"/>
        <v>0</v>
      </c>
      <c r="L61" s="49">
        <f t="shared" si="35"/>
        <v>0</v>
      </c>
      <c r="M61" s="49">
        <f t="shared" si="35"/>
        <v>0</v>
      </c>
      <c r="N61" s="49">
        <f t="shared" si="35"/>
        <v>0</v>
      </c>
      <c r="O61" s="49">
        <f t="shared" si="35"/>
        <v>0</v>
      </c>
      <c r="P61" s="49">
        <f t="shared" si="35"/>
        <v>0</v>
      </c>
      <c r="Q61" s="49">
        <f t="shared" si="35"/>
        <v>0</v>
      </c>
      <c r="R61" s="49">
        <f t="shared" si="35"/>
        <v>0</v>
      </c>
      <c r="S61" s="49">
        <f t="shared" si="35"/>
        <v>0</v>
      </c>
      <c r="T61" s="49">
        <f t="shared" si="35"/>
        <v>0</v>
      </c>
      <c r="U61" s="49">
        <f t="shared" si="35"/>
        <v>0</v>
      </c>
      <c r="V61" s="49">
        <f t="shared" si="35"/>
        <v>0</v>
      </c>
      <c r="W61" s="49">
        <f t="shared" si="35"/>
        <v>0</v>
      </c>
      <c r="X61" s="49">
        <f t="shared" si="35"/>
        <v>0</v>
      </c>
      <c r="Y61" s="49">
        <f t="shared" si="35"/>
        <v>0</v>
      </c>
      <c r="Z61" s="49">
        <f t="shared" si="35"/>
        <v>0</v>
      </c>
      <c r="AA61" s="49">
        <f t="shared" si="35"/>
        <v>0</v>
      </c>
      <c r="AB61" s="49">
        <f t="shared" si="35"/>
        <v>0</v>
      </c>
      <c r="AC61" s="54">
        <f t="shared" si="35"/>
        <v>0</v>
      </c>
    </row>
    <row r="62" spans="1:29">
      <c r="A62" s="59"/>
      <c r="B62" s="49"/>
      <c r="C62" s="49">
        <f t="shared" si="4"/>
        <v>0</v>
      </c>
      <c r="D62" s="49">
        <f t="shared" ref="D62:AC62" si="36">SUM(C62*1.02)</f>
        <v>0</v>
      </c>
      <c r="E62" s="49">
        <f t="shared" si="36"/>
        <v>0</v>
      </c>
      <c r="F62" s="49">
        <f t="shared" si="36"/>
        <v>0</v>
      </c>
      <c r="G62" s="49">
        <f t="shared" si="36"/>
        <v>0</v>
      </c>
      <c r="H62" s="49">
        <f t="shared" si="36"/>
        <v>0</v>
      </c>
      <c r="I62" s="49">
        <f t="shared" si="36"/>
        <v>0</v>
      </c>
      <c r="J62" s="49">
        <f t="shared" si="36"/>
        <v>0</v>
      </c>
      <c r="K62" s="49">
        <f t="shared" si="36"/>
        <v>0</v>
      </c>
      <c r="L62" s="49">
        <f t="shared" si="36"/>
        <v>0</v>
      </c>
      <c r="M62" s="49">
        <f t="shared" si="36"/>
        <v>0</v>
      </c>
      <c r="N62" s="49">
        <f t="shared" si="36"/>
        <v>0</v>
      </c>
      <c r="O62" s="49">
        <f t="shared" si="36"/>
        <v>0</v>
      </c>
      <c r="P62" s="49">
        <f t="shared" si="36"/>
        <v>0</v>
      </c>
      <c r="Q62" s="49">
        <f t="shared" si="36"/>
        <v>0</v>
      </c>
      <c r="R62" s="49">
        <f t="shared" si="36"/>
        <v>0</v>
      </c>
      <c r="S62" s="49">
        <f t="shared" si="36"/>
        <v>0</v>
      </c>
      <c r="T62" s="49">
        <f t="shared" si="36"/>
        <v>0</v>
      </c>
      <c r="U62" s="49">
        <f t="shared" si="36"/>
        <v>0</v>
      </c>
      <c r="V62" s="49">
        <f t="shared" si="36"/>
        <v>0</v>
      </c>
      <c r="W62" s="49">
        <f t="shared" si="36"/>
        <v>0</v>
      </c>
      <c r="X62" s="49">
        <f t="shared" si="36"/>
        <v>0</v>
      </c>
      <c r="Y62" s="49">
        <f t="shared" si="36"/>
        <v>0</v>
      </c>
      <c r="Z62" s="49">
        <f t="shared" si="36"/>
        <v>0</v>
      </c>
      <c r="AA62" s="49">
        <f t="shared" si="36"/>
        <v>0</v>
      </c>
      <c r="AB62" s="49">
        <f t="shared" si="36"/>
        <v>0</v>
      </c>
      <c r="AC62" s="54">
        <f t="shared" si="36"/>
        <v>0</v>
      </c>
    </row>
    <row r="63" spans="1:29">
      <c r="A63" s="59"/>
      <c r="B63" s="49"/>
      <c r="C63" s="49">
        <f t="shared" si="4"/>
        <v>0</v>
      </c>
      <c r="D63" s="49">
        <f t="shared" ref="D63:AC63" si="37">SUM(C63*1.02)</f>
        <v>0</v>
      </c>
      <c r="E63" s="49">
        <f t="shared" si="37"/>
        <v>0</v>
      </c>
      <c r="F63" s="49">
        <f t="shared" si="37"/>
        <v>0</v>
      </c>
      <c r="G63" s="49">
        <f t="shared" si="37"/>
        <v>0</v>
      </c>
      <c r="H63" s="49">
        <f t="shared" si="37"/>
        <v>0</v>
      </c>
      <c r="I63" s="49">
        <f t="shared" si="37"/>
        <v>0</v>
      </c>
      <c r="J63" s="49">
        <f t="shared" si="37"/>
        <v>0</v>
      </c>
      <c r="K63" s="49">
        <f t="shared" si="37"/>
        <v>0</v>
      </c>
      <c r="L63" s="49">
        <f t="shared" si="37"/>
        <v>0</v>
      </c>
      <c r="M63" s="49">
        <f t="shared" si="37"/>
        <v>0</v>
      </c>
      <c r="N63" s="49">
        <f t="shared" si="37"/>
        <v>0</v>
      </c>
      <c r="O63" s="49">
        <f t="shared" si="37"/>
        <v>0</v>
      </c>
      <c r="P63" s="49">
        <f t="shared" si="37"/>
        <v>0</v>
      </c>
      <c r="Q63" s="49">
        <f t="shared" si="37"/>
        <v>0</v>
      </c>
      <c r="R63" s="49">
        <f t="shared" si="37"/>
        <v>0</v>
      </c>
      <c r="S63" s="49">
        <f t="shared" si="37"/>
        <v>0</v>
      </c>
      <c r="T63" s="49">
        <f t="shared" si="37"/>
        <v>0</v>
      </c>
      <c r="U63" s="49">
        <f t="shared" si="37"/>
        <v>0</v>
      </c>
      <c r="V63" s="49">
        <f t="shared" si="37"/>
        <v>0</v>
      </c>
      <c r="W63" s="49">
        <f t="shared" si="37"/>
        <v>0</v>
      </c>
      <c r="X63" s="49">
        <f t="shared" si="37"/>
        <v>0</v>
      </c>
      <c r="Y63" s="49">
        <f t="shared" si="37"/>
        <v>0</v>
      </c>
      <c r="Z63" s="49">
        <f t="shared" si="37"/>
        <v>0</v>
      </c>
      <c r="AA63" s="49">
        <f t="shared" si="37"/>
        <v>0</v>
      </c>
      <c r="AB63" s="49">
        <f t="shared" si="37"/>
        <v>0</v>
      </c>
      <c r="AC63" s="54">
        <f t="shared" si="37"/>
        <v>0</v>
      </c>
    </row>
    <row r="64" spans="1:29">
      <c r="A64" s="59"/>
      <c r="B64" s="49"/>
      <c r="C64" s="49">
        <f t="shared" si="4"/>
        <v>0</v>
      </c>
      <c r="D64" s="49">
        <f t="shared" ref="D64:AC64" si="38">SUM(C64*1.02)</f>
        <v>0</v>
      </c>
      <c r="E64" s="49">
        <f t="shared" si="38"/>
        <v>0</v>
      </c>
      <c r="F64" s="49">
        <f t="shared" si="38"/>
        <v>0</v>
      </c>
      <c r="G64" s="49">
        <f t="shared" si="38"/>
        <v>0</v>
      </c>
      <c r="H64" s="49">
        <f t="shared" si="38"/>
        <v>0</v>
      </c>
      <c r="I64" s="49">
        <f t="shared" si="38"/>
        <v>0</v>
      </c>
      <c r="J64" s="49">
        <f t="shared" si="38"/>
        <v>0</v>
      </c>
      <c r="K64" s="49">
        <f t="shared" si="38"/>
        <v>0</v>
      </c>
      <c r="L64" s="49">
        <f t="shared" si="38"/>
        <v>0</v>
      </c>
      <c r="M64" s="49">
        <f t="shared" si="38"/>
        <v>0</v>
      </c>
      <c r="N64" s="49">
        <f t="shared" si="38"/>
        <v>0</v>
      </c>
      <c r="O64" s="49">
        <f t="shared" si="38"/>
        <v>0</v>
      </c>
      <c r="P64" s="49">
        <f t="shared" si="38"/>
        <v>0</v>
      </c>
      <c r="Q64" s="49">
        <f t="shared" si="38"/>
        <v>0</v>
      </c>
      <c r="R64" s="49">
        <f t="shared" si="38"/>
        <v>0</v>
      </c>
      <c r="S64" s="49">
        <f t="shared" si="38"/>
        <v>0</v>
      </c>
      <c r="T64" s="49">
        <f t="shared" si="38"/>
        <v>0</v>
      </c>
      <c r="U64" s="49">
        <f t="shared" si="38"/>
        <v>0</v>
      </c>
      <c r="V64" s="49">
        <f t="shared" si="38"/>
        <v>0</v>
      </c>
      <c r="W64" s="49">
        <f t="shared" si="38"/>
        <v>0</v>
      </c>
      <c r="X64" s="49">
        <f t="shared" si="38"/>
        <v>0</v>
      </c>
      <c r="Y64" s="49">
        <f t="shared" si="38"/>
        <v>0</v>
      </c>
      <c r="Z64" s="49">
        <f t="shared" si="38"/>
        <v>0</v>
      </c>
      <c r="AA64" s="49">
        <f t="shared" si="38"/>
        <v>0</v>
      </c>
      <c r="AB64" s="49">
        <f t="shared" si="38"/>
        <v>0</v>
      </c>
      <c r="AC64" s="54">
        <f t="shared" si="38"/>
        <v>0</v>
      </c>
    </row>
    <row r="65" spans="1:29">
      <c r="A65" s="59"/>
      <c r="B65" s="49"/>
      <c r="C65" s="49">
        <f t="shared" si="4"/>
        <v>0</v>
      </c>
      <c r="D65" s="49">
        <f t="shared" ref="D65:AC65" si="39">SUM(C65*1.02)</f>
        <v>0</v>
      </c>
      <c r="E65" s="49">
        <f t="shared" si="39"/>
        <v>0</v>
      </c>
      <c r="F65" s="49">
        <f t="shared" si="39"/>
        <v>0</v>
      </c>
      <c r="G65" s="49">
        <f t="shared" si="39"/>
        <v>0</v>
      </c>
      <c r="H65" s="49">
        <f t="shared" si="39"/>
        <v>0</v>
      </c>
      <c r="I65" s="49">
        <f t="shared" si="39"/>
        <v>0</v>
      </c>
      <c r="J65" s="49">
        <f t="shared" si="39"/>
        <v>0</v>
      </c>
      <c r="K65" s="49">
        <f t="shared" si="39"/>
        <v>0</v>
      </c>
      <c r="L65" s="49">
        <f t="shared" si="39"/>
        <v>0</v>
      </c>
      <c r="M65" s="49">
        <f t="shared" si="39"/>
        <v>0</v>
      </c>
      <c r="N65" s="49">
        <f t="shared" si="39"/>
        <v>0</v>
      </c>
      <c r="O65" s="49">
        <f t="shared" si="39"/>
        <v>0</v>
      </c>
      <c r="P65" s="49">
        <f t="shared" si="39"/>
        <v>0</v>
      </c>
      <c r="Q65" s="49">
        <f t="shared" si="39"/>
        <v>0</v>
      </c>
      <c r="R65" s="49">
        <f t="shared" si="39"/>
        <v>0</v>
      </c>
      <c r="S65" s="49">
        <f t="shared" si="39"/>
        <v>0</v>
      </c>
      <c r="T65" s="49">
        <f t="shared" si="39"/>
        <v>0</v>
      </c>
      <c r="U65" s="49">
        <f t="shared" si="39"/>
        <v>0</v>
      </c>
      <c r="V65" s="49">
        <f t="shared" si="39"/>
        <v>0</v>
      </c>
      <c r="W65" s="49">
        <f t="shared" si="39"/>
        <v>0</v>
      </c>
      <c r="X65" s="49">
        <f t="shared" si="39"/>
        <v>0</v>
      </c>
      <c r="Y65" s="49">
        <f t="shared" si="39"/>
        <v>0</v>
      </c>
      <c r="Z65" s="49">
        <f t="shared" si="39"/>
        <v>0</v>
      </c>
      <c r="AA65" s="49">
        <f t="shared" si="39"/>
        <v>0</v>
      </c>
      <c r="AB65" s="49">
        <f t="shared" si="39"/>
        <v>0</v>
      </c>
      <c r="AC65" s="54">
        <f t="shared" si="39"/>
        <v>0</v>
      </c>
    </row>
    <row r="66" spans="1:29">
      <c r="A66" s="59"/>
      <c r="B66" s="49"/>
      <c r="C66" s="49">
        <f t="shared" si="4"/>
        <v>0</v>
      </c>
      <c r="D66" s="49">
        <f t="shared" ref="D66:AC66" si="40">SUM(C66*1.02)</f>
        <v>0</v>
      </c>
      <c r="E66" s="49">
        <f t="shared" si="40"/>
        <v>0</v>
      </c>
      <c r="F66" s="49">
        <f t="shared" si="40"/>
        <v>0</v>
      </c>
      <c r="G66" s="49">
        <f t="shared" si="40"/>
        <v>0</v>
      </c>
      <c r="H66" s="49">
        <f t="shared" si="40"/>
        <v>0</v>
      </c>
      <c r="I66" s="49">
        <f t="shared" si="40"/>
        <v>0</v>
      </c>
      <c r="J66" s="49">
        <f t="shared" si="40"/>
        <v>0</v>
      </c>
      <c r="K66" s="49">
        <f t="shared" si="40"/>
        <v>0</v>
      </c>
      <c r="L66" s="49">
        <f t="shared" si="40"/>
        <v>0</v>
      </c>
      <c r="M66" s="49">
        <f t="shared" si="40"/>
        <v>0</v>
      </c>
      <c r="N66" s="49">
        <f t="shared" si="40"/>
        <v>0</v>
      </c>
      <c r="O66" s="49">
        <f t="shared" si="40"/>
        <v>0</v>
      </c>
      <c r="P66" s="49">
        <f t="shared" si="40"/>
        <v>0</v>
      </c>
      <c r="Q66" s="49">
        <f t="shared" si="40"/>
        <v>0</v>
      </c>
      <c r="R66" s="49">
        <f t="shared" si="40"/>
        <v>0</v>
      </c>
      <c r="S66" s="49">
        <f t="shared" si="40"/>
        <v>0</v>
      </c>
      <c r="T66" s="49">
        <f t="shared" si="40"/>
        <v>0</v>
      </c>
      <c r="U66" s="49">
        <f t="shared" si="40"/>
        <v>0</v>
      </c>
      <c r="V66" s="49">
        <f t="shared" si="40"/>
        <v>0</v>
      </c>
      <c r="W66" s="49">
        <f t="shared" si="40"/>
        <v>0</v>
      </c>
      <c r="X66" s="49">
        <f t="shared" si="40"/>
        <v>0</v>
      </c>
      <c r="Y66" s="49">
        <f t="shared" si="40"/>
        <v>0</v>
      </c>
      <c r="Z66" s="49">
        <f t="shared" si="40"/>
        <v>0</v>
      </c>
      <c r="AA66" s="49">
        <f t="shared" si="40"/>
        <v>0</v>
      </c>
      <c r="AB66" s="49">
        <f t="shared" si="40"/>
        <v>0</v>
      </c>
      <c r="AC66" s="54">
        <f t="shared" si="40"/>
        <v>0</v>
      </c>
    </row>
    <row r="67" spans="1:29">
      <c r="A67" s="59"/>
      <c r="B67" s="49"/>
      <c r="C67" s="49">
        <f t="shared" si="4"/>
        <v>0</v>
      </c>
      <c r="D67" s="49">
        <f t="shared" ref="D67:AC77" si="41">SUM(C67*1.02)</f>
        <v>0</v>
      </c>
      <c r="E67" s="49">
        <f t="shared" si="41"/>
        <v>0</v>
      </c>
      <c r="F67" s="49">
        <f t="shared" si="41"/>
        <v>0</v>
      </c>
      <c r="G67" s="49">
        <f t="shared" si="41"/>
        <v>0</v>
      </c>
      <c r="H67" s="49">
        <f t="shared" si="41"/>
        <v>0</v>
      </c>
      <c r="I67" s="49">
        <f t="shared" si="41"/>
        <v>0</v>
      </c>
      <c r="J67" s="49">
        <f t="shared" si="41"/>
        <v>0</v>
      </c>
      <c r="K67" s="49">
        <f t="shared" si="41"/>
        <v>0</v>
      </c>
      <c r="L67" s="49">
        <f t="shared" si="41"/>
        <v>0</v>
      </c>
      <c r="M67" s="49">
        <f t="shared" si="41"/>
        <v>0</v>
      </c>
      <c r="N67" s="49">
        <f t="shared" si="41"/>
        <v>0</v>
      </c>
      <c r="O67" s="49">
        <f t="shared" si="41"/>
        <v>0</v>
      </c>
      <c r="P67" s="49">
        <f t="shared" si="41"/>
        <v>0</v>
      </c>
      <c r="Q67" s="49">
        <f t="shared" si="41"/>
        <v>0</v>
      </c>
      <c r="R67" s="49">
        <f t="shared" si="41"/>
        <v>0</v>
      </c>
      <c r="S67" s="49">
        <f t="shared" si="41"/>
        <v>0</v>
      </c>
      <c r="T67" s="49">
        <f t="shared" si="41"/>
        <v>0</v>
      </c>
      <c r="U67" s="49">
        <f t="shared" si="41"/>
        <v>0</v>
      </c>
      <c r="V67" s="49">
        <f t="shared" si="41"/>
        <v>0</v>
      </c>
      <c r="W67" s="49">
        <f t="shared" si="41"/>
        <v>0</v>
      </c>
      <c r="X67" s="49">
        <f t="shared" si="41"/>
        <v>0</v>
      </c>
      <c r="Y67" s="49">
        <f t="shared" si="41"/>
        <v>0</v>
      </c>
      <c r="Z67" s="49">
        <f t="shared" si="41"/>
        <v>0</v>
      </c>
      <c r="AA67" s="49">
        <f t="shared" si="41"/>
        <v>0</v>
      </c>
      <c r="AB67" s="49">
        <f t="shared" si="41"/>
        <v>0</v>
      </c>
      <c r="AC67" s="54">
        <f t="shared" si="41"/>
        <v>0</v>
      </c>
    </row>
    <row r="68" spans="1:29">
      <c r="A68" s="59"/>
      <c r="B68" s="49"/>
      <c r="C68" s="49">
        <f t="shared" ref="C68:R80" si="42">SUM(B68*1.02)</f>
        <v>0</v>
      </c>
      <c r="D68" s="49">
        <f t="shared" si="42"/>
        <v>0</v>
      </c>
      <c r="E68" s="49">
        <f t="shared" si="42"/>
        <v>0</v>
      </c>
      <c r="F68" s="49">
        <f t="shared" si="42"/>
        <v>0</v>
      </c>
      <c r="G68" s="49">
        <f t="shared" si="42"/>
        <v>0</v>
      </c>
      <c r="H68" s="49">
        <f t="shared" si="42"/>
        <v>0</v>
      </c>
      <c r="I68" s="49">
        <f t="shared" si="42"/>
        <v>0</v>
      </c>
      <c r="J68" s="49">
        <f t="shared" si="42"/>
        <v>0</v>
      </c>
      <c r="K68" s="49">
        <f t="shared" si="42"/>
        <v>0</v>
      </c>
      <c r="L68" s="49">
        <f t="shared" si="42"/>
        <v>0</v>
      </c>
      <c r="M68" s="49">
        <f t="shared" si="42"/>
        <v>0</v>
      </c>
      <c r="N68" s="49">
        <f t="shared" si="42"/>
        <v>0</v>
      </c>
      <c r="O68" s="49">
        <f t="shared" si="42"/>
        <v>0</v>
      </c>
      <c r="P68" s="49">
        <f t="shared" si="42"/>
        <v>0</v>
      </c>
      <c r="Q68" s="49">
        <f t="shared" si="42"/>
        <v>0</v>
      </c>
      <c r="R68" s="49">
        <f t="shared" si="42"/>
        <v>0</v>
      </c>
      <c r="S68" s="49">
        <f t="shared" si="41"/>
        <v>0</v>
      </c>
      <c r="T68" s="49">
        <f t="shared" si="41"/>
        <v>0</v>
      </c>
      <c r="U68" s="49">
        <f t="shared" si="41"/>
        <v>0</v>
      </c>
      <c r="V68" s="49">
        <f t="shared" si="41"/>
        <v>0</v>
      </c>
      <c r="W68" s="49">
        <f t="shared" si="41"/>
        <v>0</v>
      </c>
      <c r="X68" s="49">
        <f t="shared" si="41"/>
        <v>0</v>
      </c>
      <c r="Y68" s="49">
        <f t="shared" si="41"/>
        <v>0</v>
      </c>
      <c r="Z68" s="49">
        <f t="shared" si="41"/>
        <v>0</v>
      </c>
      <c r="AA68" s="49">
        <f t="shared" si="41"/>
        <v>0</v>
      </c>
      <c r="AB68" s="49">
        <f t="shared" si="41"/>
        <v>0</v>
      </c>
      <c r="AC68" s="54">
        <f t="shared" si="41"/>
        <v>0</v>
      </c>
    </row>
    <row r="69" spans="1:29">
      <c r="A69" s="59"/>
      <c r="B69" s="49"/>
      <c r="C69" s="49">
        <f t="shared" si="42"/>
        <v>0</v>
      </c>
      <c r="D69" s="49">
        <f t="shared" si="41"/>
        <v>0</v>
      </c>
      <c r="E69" s="49">
        <f t="shared" si="41"/>
        <v>0</v>
      </c>
      <c r="F69" s="49">
        <f t="shared" si="41"/>
        <v>0</v>
      </c>
      <c r="G69" s="49">
        <f t="shared" si="41"/>
        <v>0</v>
      </c>
      <c r="H69" s="49">
        <f t="shared" si="41"/>
        <v>0</v>
      </c>
      <c r="I69" s="49">
        <f t="shared" si="41"/>
        <v>0</v>
      </c>
      <c r="J69" s="49">
        <f t="shared" si="41"/>
        <v>0</v>
      </c>
      <c r="K69" s="49">
        <f t="shared" si="41"/>
        <v>0</v>
      </c>
      <c r="L69" s="49">
        <f t="shared" si="41"/>
        <v>0</v>
      </c>
      <c r="M69" s="49">
        <f t="shared" si="41"/>
        <v>0</v>
      </c>
      <c r="N69" s="49">
        <f t="shared" si="41"/>
        <v>0</v>
      </c>
      <c r="O69" s="49">
        <f t="shared" si="41"/>
        <v>0</v>
      </c>
      <c r="P69" s="49">
        <f t="shared" si="41"/>
        <v>0</v>
      </c>
      <c r="Q69" s="49">
        <f t="shared" si="41"/>
        <v>0</v>
      </c>
      <c r="R69" s="49">
        <f t="shared" si="41"/>
        <v>0</v>
      </c>
      <c r="S69" s="49">
        <f t="shared" si="41"/>
        <v>0</v>
      </c>
      <c r="T69" s="49">
        <f t="shared" si="41"/>
        <v>0</v>
      </c>
      <c r="U69" s="49">
        <f t="shared" si="41"/>
        <v>0</v>
      </c>
      <c r="V69" s="49">
        <f t="shared" si="41"/>
        <v>0</v>
      </c>
      <c r="W69" s="49">
        <f t="shared" si="41"/>
        <v>0</v>
      </c>
      <c r="X69" s="49">
        <f t="shared" si="41"/>
        <v>0</v>
      </c>
      <c r="Y69" s="49">
        <f t="shared" si="41"/>
        <v>0</v>
      </c>
      <c r="Z69" s="49">
        <f t="shared" si="41"/>
        <v>0</v>
      </c>
      <c r="AA69" s="49">
        <f t="shared" si="41"/>
        <v>0</v>
      </c>
      <c r="AB69" s="49">
        <f t="shared" si="41"/>
        <v>0</v>
      </c>
      <c r="AC69" s="54">
        <f t="shared" si="41"/>
        <v>0</v>
      </c>
    </row>
    <row r="70" spans="1:29">
      <c r="A70" s="59"/>
      <c r="B70" s="49"/>
      <c r="C70" s="49">
        <f t="shared" si="42"/>
        <v>0</v>
      </c>
      <c r="D70" s="49">
        <f t="shared" si="41"/>
        <v>0</v>
      </c>
      <c r="E70" s="49">
        <f t="shared" si="41"/>
        <v>0</v>
      </c>
      <c r="F70" s="49">
        <f t="shared" si="41"/>
        <v>0</v>
      </c>
      <c r="G70" s="49">
        <f t="shared" si="41"/>
        <v>0</v>
      </c>
      <c r="H70" s="49">
        <f t="shared" si="41"/>
        <v>0</v>
      </c>
      <c r="I70" s="49">
        <f t="shared" si="41"/>
        <v>0</v>
      </c>
      <c r="J70" s="49">
        <f t="shared" si="41"/>
        <v>0</v>
      </c>
      <c r="K70" s="49">
        <f t="shared" si="41"/>
        <v>0</v>
      </c>
      <c r="L70" s="49">
        <f t="shared" si="41"/>
        <v>0</v>
      </c>
      <c r="M70" s="49">
        <f t="shared" si="41"/>
        <v>0</v>
      </c>
      <c r="N70" s="49">
        <f t="shared" si="41"/>
        <v>0</v>
      </c>
      <c r="O70" s="49">
        <f t="shared" si="41"/>
        <v>0</v>
      </c>
      <c r="P70" s="49">
        <f t="shared" si="41"/>
        <v>0</v>
      </c>
      <c r="Q70" s="49">
        <f t="shared" si="41"/>
        <v>0</v>
      </c>
      <c r="R70" s="49">
        <f t="shared" si="41"/>
        <v>0</v>
      </c>
      <c r="S70" s="49">
        <f t="shared" si="41"/>
        <v>0</v>
      </c>
      <c r="T70" s="49">
        <f t="shared" si="41"/>
        <v>0</v>
      </c>
      <c r="U70" s="49">
        <f t="shared" si="41"/>
        <v>0</v>
      </c>
      <c r="V70" s="49">
        <f t="shared" si="41"/>
        <v>0</v>
      </c>
      <c r="W70" s="49">
        <f t="shared" si="41"/>
        <v>0</v>
      </c>
      <c r="X70" s="49">
        <f t="shared" si="41"/>
        <v>0</v>
      </c>
      <c r="Y70" s="49">
        <f t="shared" si="41"/>
        <v>0</v>
      </c>
      <c r="Z70" s="49">
        <f t="shared" si="41"/>
        <v>0</v>
      </c>
      <c r="AA70" s="49">
        <f t="shared" si="41"/>
        <v>0</v>
      </c>
      <c r="AB70" s="49">
        <f t="shared" si="41"/>
        <v>0</v>
      </c>
      <c r="AC70" s="54">
        <f t="shared" si="41"/>
        <v>0</v>
      </c>
    </row>
    <row r="71" spans="1:29">
      <c r="A71" s="59"/>
      <c r="B71" s="49"/>
      <c r="C71" s="49">
        <f t="shared" si="42"/>
        <v>0</v>
      </c>
      <c r="D71" s="49">
        <f t="shared" si="41"/>
        <v>0</v>
      </c>
      <c r="E71" s="49">
        <f t="shared" si="41"/>
        <v>0</v>
      </c>
      <c r="F71" s="49">
        <f t="shared" si="41"/>
        <v>0</v>
      </c>
      <c r="G71" s="49">
        <f t="shared" si="41"/>
        <v>0</v>
      </c>
      <c r="H71" s="49">
        <f t="shared" si="41"/>
        <v>0</v>
      </c>
      <c r="I71" s="49">
        <f t="shared" si="41"/>
        <v>0</v>
      </c>
      <c r="J71" s="49">
        <f t="shared" si="41"/>
        <v>0</v>
      </c>
      <c r="K71" s="49">
        <f t="shared" si="41"/>
        <v>0</v>
      </c>
      <c r="L71" s="49">
        <f t="shared" si="41"/>
        <v>0</v>
      </c>
      <c r="M71" s="49">
        <f t="shared" si="41"/>
        <v>0</v>
      </c>
      <c r="N71" s="49">
        <f t="shared" si="41"/>
        <v>0</v>
      </c>
      <c r="O71" s="49">
        <f t="shared" si="41"/>
        <v>0</v>
      </c>
      <c r="P71" s="49">
        <f t="shared" si="41"/>
        <v>0</v>
      </c>
      <c r="Q71" s="49">
        <f t="shared" si="41"/>
        <v>0</v>
      </c>
      <c r="R71" s="49">
        <f t="shared" si="41"/>
        <v>0</v>
      </c>
      <c r="S71" s="49">
        <f t="shared" si="41"/>
        <v>0</v>
      </c>
      <c r="T71" s="49">
        <f t="shared" si="41"/>
        <v>0</v>
      </c>
      <c r="U71" s="49">
        <f t="shared" si="41"/>
        <v>0</v>
      </c>
      <c r="V71" s="49">
        <f t="shared" si="41"/>
        <v>0</v>
      </c>
      <c r="W71" s="49">
        <f t="shared" si="41"/>
        <v>0</v>
      </c>
      <c r="X71" s="49">
        <f t="shared" si="41"/>
        <v>0</v>
      </c>
      <c r="Y71" s="49">
        <f t="shared" si="41"/>
        <v>0</v>
      </c>
      <c r="Z71" s="49">
        <f t="shared" si="41"/>
        <v>0</v>
      </c>
      <c r="AA71" s="49">
        <f t="shared" si="41"/>
        <v>0</v>
      </c>
      <c r="AB71" s="49">
        <f t="shared" si="41"/>
        <v>0</v>
      </c>
      <c r="AC71" s="54">
        <f t="shared" si="41"/>
        <v>0</v>
      </c>
    </row>
    <row r="72" spans="1:29">
      <c r="A72" s="59"/>
      <c r="B72" s="49"/>
      <c r="C72" s="49">
        <f t="shared" si="42"/>
        <v>0</v>
      </c>
      <c r="D72" s="49">
        <f t="shared" si="41"/>
        <v>0</v>
      </c>
      <c r="E72" s="49">
        <f t="shared" si="41"/>
        <v>0</v>
      </c>
      <c r="F72" s="49">
        <f t="shared" si="41"/>
        <v>0</v>
      </c>
      <c r="G72" s="49">
        <f t="shared" si="41"/>
        <v>0</v>
      </c>
      <c r="H72" s="49">
        <f t="shared" si="41"/>
        <v>0</v>
      </c>
      <c r="I72" s="49">
        <f t="shared" si="41"/>
        <v>0</v>
      </c>
      <c r="J72" s="49">
        <f t="shared" si="41"/>
        <v>0</v>
      </c>
      <c r="K72" s="49">
        <f t="shared" si="41"/>
        <v>0</v>
      </c>
      <c r="L72" s="49">
        <f t="shared" si="41"/>
        <v>0</v>
      </c>
      <c r="M72" s="49">
        <f t="shared" si="41"/>
        <v>0</v>
      </c>
      <c r="N72" s="49">
        <f t="shared" si="41"/>
        <v>0</v>
      </c>
      <c r="O72" s="49">
        <f t="shared" si="41"/>
        <v>0</v>
      </c>
      <c r="P72" s="49">
        <f t="shared" si="41"/>
        <v>0</v>
      </c>
      <c r="Q72" s="49">
        <f t="shared" si="41"/>
        <v>0</v>
      </c>
      <c r="R72" s="49">
        <f t="shared" si="41"/>
        <v>0</v>
      </c>
      <c r="S72" s="49">
        <f t="shared" si="41"/>
        <v>0</v>
      </c>
      <c r="T72" s="49">
        <f t="shared" si="41"/>
        <v>0</v>
      </c>
      <c r="U72" s="49">
        <f t="shared" si="41"/>
        <v>0</v>
      </c>
      <c r="V72" s="49">
        <f t="shared" si="41"/>
        <v>0</v>
      </c>
      <c r="W72" s="49">
        <f t="shared" si="41"/>
        <v>0</v>
      </c>
      <c r="X72" s="49">
        <f t="shared" si="41"/>
        <v>0</v>
      </c>
      <c r="Y72" s="49">
        <f t="shared" si="41"/>
        <v>0</v>
      </c>
      <c r="Z72" s="49">
        <f t="shared" si="41"/>
        <v>0</v>
      </c>
      <c r="AA72" s="49">
        <f t="shared" si="41"/>
        <v>0</v>
      </c>
      <c r="AB72" s="49">
        <f t="shared" si="41"/>
        <v>0</v>
      </c>
      <c r="AC72" s="54">
        <f t="shared" si="41"/>
        <v>0</v>
      </c>
    </row>
    <row r="73" spans="1:29">
      <c r="A73" s="59"/>
      <c r="B73" s="49"/>
      <c r="C73" s="49">
        <f t="shared" si="42"/>
        <v>0</v>
      </c>
      <c r="D73" s="49">
        <f t="shared" si="41"/>
        <v>0</v>
      </c>
      <c r="E73" s="49">
        <f t="shared" si="41"/>
        <v>0</v>
      </c>
      <c r="F73" s="49">
        <f t="shared" si="41"/>
        <v>0</v>
      </c>
      <c r="G73" s="49">
        <f t="shared" si="41"/>
        <v>0</v>
      </c>
      <c r="H73" s="49">
        <f t="shared" si="41"/>
        <v>0</v>
      </c>
      <c r="I73" s="49">
        <f t="shared" si="41"/>
        <v>0</v>
      </c>
      <c r="J73" s="49">
        <f t="shared" si="41"/>
        <v>0</v>
      </c>
      <c r="K73" s="49">
        <f t="shared" si="41"/>
        <v>0</v>
      </c>
      <c r="L73" s="49">
        <f t="shared" si="41"/>
        <v>0</v>
      </c>
      <c r="M73" s="49">
        <f t="shared" si="41"/>
        <v>0</v>
      </c>
      <c r="N73" s="49">
        <f t="shared" si="41"/>
        <v>0</v>
      </c>
      <c r="O73" s="49">
        <f t="shared" si="41"/>
        <v>0</v>
      </c>
      <c r="P73" s="49">
        <f t="shared" si="41"/>
        <v>0</v>
      </c>
      <c r="Q73" s="49">
        <f t="shared" si="41"/>
        <v>0</v>
      </c>
      <c r="R73" s="49">
        <f t="shared" si="41"/>
        <v>0</v>
      </c>
      <c r="S73" s="49">
        <f t="shared" si="41"/>
        <v>0</v>
      </c>
      <c r="T73" s="49">
        <f t="shared" si="41"/>
        <v>0</v>
      </c>
      <c r="U73" s="49">
        <f t="shared" si="41"/>
        <v>0</v>
      </c>
      <c r="V73" s="49">
        <f t="shared" si="41"/>
        <v>0</v>
      </c>
      <c r="W73" s="49">
        <f t="shared" si="41"/>
        <v>0</v>
      </c>
      <c r="X73" s="49">
        <f t="shared" si="41"/>
        <v>0</v>
      </c>
      <c r="Y73" s="49">
        <f t="shared" si="41"/>
        <v>0</v>
      </c>
      <c r="Z73" s="49">
        <f t="shared" si="41"/>
        <v>0</v>
      </c>
      <c r="AA73" s="49">
        <f t="shared" si="41"/>
        <v>0</v>
      </c>
      <c r="AB73" s="49">
        <f t="shared" si="41"/>
        <v>0</v>
      </c>
      <c r="AC73" s="54">
        <f t="shared" si="41"/>
        <v>0</v>
      </c>
    </row>
    <row r="74" spans="1:29">
      <c r="A74" s="59"/>
      <c r="B74" s="49"/>
      <c r="C74" s="49">
        <f t="shared" si="42"/>
        <v>0</v>
      </c>
      <c r="D74" s="49">
        <f t="shared" si="41"/>
        <v>0</v>
      </c>
      <c r="E74" s="49">
        <f t="shared" si="41"/>
        <v>0</v>
      </c>
      <c r="F74" s="49">
        <f t="shared" si="41"/>
        <v>0</v>
      </c>
      <c r="G74" s="49">
        <f t="shared" si="41"/>
        <v>0</v>
      </c>
      <c r="H74" s="49">
        <f t="shared" si="41"/>
        <v>0</v>
      </c>
      <c r="I74" s="49">
        <f t="shared" si="41"/>
        <v>0</v>
      </c>
      <c r="J74" s="49">
        <f t="shared" si="41"/>
        <v>0</v>
      </c>
      <c r="K74" s="49">
        <f t="shared" si="41"/>
        <v>0</v>
      </c>
      <c r="L74" s="49">
        <f t="shared" si="41"/>
        <v>0</v>
      </c>
      <c r="M74" s="49">
        <f t="shared" si="41"/>
        <v>0</v>
      </c>
      <c r="N74" s="49">
        <f t="shared" si="41"/>
        <v>0</v>
      </c>
      <c r="O74" s="49">
        <f t="shared" si="41"/>
        <v>0</v>
      </c>
      <c r="P74" s="49">
        <f t="shared" si="41"/>
        <v>0</v>
      </c>
      <c r="Q74" s="49">
        <f t="shared" si="41"/>
        <v>0</v>
      </c>
      <c r="R74" s="49">
        <f t="shared" si="41"/>
        <v>0</v>
      </c>
      <c r="S74" s="49">
        <f t="shared" si="41"/>
        <v>0</v>
      </c>
      <c r="T74" s="49">
        <f t="shared" si="41"/>
        <v>0</v>
      </c>
      <c r="U74" s="49">
        <f t="shared" si="41"/>
        <v>0</v>
      </c>
      <c r="V74" s="49">
        <f t="shared" si="41"/>
        <v>0</v>
      </c>
      <c r="W74" s="49">
        <f t="shared" si="41"/>
        <v>0</v>
      </c>
      <c r="X74" s="49">
        <f t="shared" si="41"/>
        <v>0</v>
      </c>
      <c r="Y74" s="49">
        <f t="shared" si="41"/>
        <v>0</v>
      </c>
      <c r="Z74" s="49">
        <f t="shared" si="41"/>
        <v>0</v>
      </c>
      <c r="AA74" s="49">
        <f t="shared" si="41"/>
        <v>0</v>
      </c>
      <c r="AB74" s="49">
        <f t="shared" si="41"/>
        <v>0</v>
      </c>
      <c r="AC74" s="54">
        <f t="shared" si="41"/>
        <v>0</v>
      </c>
    </row>
    <row r="75" spans="1:29">
      <c r="A75" s="59"/>
      <c r="B75" s="49"/>
      <c r="C75" s="49">
        <f t="shared" si="42"/>
        <v>0</v>
      </c>
      <c r="D75" s="49">
        <f t="shared" si="41"/>
        <v>0</v>
      </c>
      <c r="E75" s="49">
        <f t="shared" si="41"/>
        <v>0</v>
      </c>
      <c r="F75" s="49">
        <f t="shared" si="41"/>
        <v>0</v>
      </c>
      <c r="G75" s="49">
        <f t="shared" si="41"/>
        <v>0</v>
      </c>
      <c r="H75" s="49">
        <f t="shared" si="41"/>
        <v>0</v>
      </c>
      <c r="I75" s="49">
        <f t="shared" si="41"/>
        <v>0</v>
      </c>
      <c r="J75" s="49">
        <f t="shared" si="41"/>
        <v>0</v>
      </c>
      <c r="K75" s="49">
        <f t="shared" si="41"/>
        <v>0</v>
      </c>
      <c r="L75" s="49">
        <f t="shared" si="41"/>
        <v>0</v>
      </c>
      <c r="M75" s="49">
        <f t="shared" si="41"/>
        <v>0</v>
      </c>
      <c r="N75" s="49">
        <f t="shared" si="41"/>
        <v>0</v>
      </c>
      <c r="O75" s="49">
        <f t="shared" si="41"/>
        <v>0</v>
      </c>
      <c r="P75" s="49">
        <f t="shared" si="41"/>
        <v>0</v>
      </c>
      <c r="Q75" s="49">
        <f t="shared" si="41"/>
        <v>0</v>
      </c>
      <c r="R75" s="49">
        <f t="shared" si="41"/>
        <v>0</v>
      </c>
      <c r="S75" s="49">
        <f t="shared" si="41"/>
        <v>0</v>
      </c>
      <c r="T75" s="49">
        <f t="shared" si="41"/>
        <v>0</v>
      </c>
      <c r="U75" s="49">
        <f t="shared" si="41"/>
        <v>0</v>
      </c>
      <c r="V75" s="49">
        <f t="shared" si="41"/>
        <v>0</v>
      </c>
      <c r="W75" s="49">
        <f t="shared" si="41"/>
        <v>0</v>
      </c>
      <c r="X75" s="49">
        <f t="shared" si="41"/>
        <v>0</v>
      </c>
      <c r="Y75" s="49">
        <f t="shared" si="41"/>
        <v>0</v>
      </c>
      <c r="Z75" s="49">
        <f t="shared" si="41"/>
        <v>0</v>
      </c>
      <c r="AA75" s="49">
        <f t="shared" si="41"/>
        <v>0</v>
      </c>
      <c r="AB75" s="49">
        <f t="shared" si="41"/>
        <v>0</v>
      </c>
      <c r="AC75" s="54">
        <f t="shared" si="41"/>
        <v>0</v>
      </c>
    </row>
    <row r="76" spans="1:29">
      <c r="A76" s="59"/>
      <c r="B76" s="49"/>
      <c r="C76" s="49">
        <f t="shared" si="42"/>
        <v>0</v>
      </c>
      <c r="D76" s="49">
        <f t="shared" si="41"/>
        <v>0</v>
      </c>
      <c r="E76" s="49">
        <f t="shared" si="41"/>
        <v>0</v>
      </c>
      <c r="F76" s="49">
        <f t="shared" si="41"/>
        <v>0</v>
      </c>
      <c r="G76" s="49">
        <f t="shared" si="41"/>
        <v>0</v>
      </c>
      <c r="H76" s="49">
        <f t="shared" si="41"/>
        <v>0</v>
      </c>
      <c r="I76" s="49">
        <f t="shared" si="41"/>
        <v>0</v>
      </c>
      <c r="J76" s="49">
        <f t="shared" si="41"/>
        <v>0</v>
      </c>
      <c r="K76" s="49">
        <f t="shared" si="41"/>
        <v>0</v>
      </c>
      <c r="L76" s="49">
        <f t="shared" si="41"/>
        <v>0</v>
      </c>
      <c r="M76" s="49">
        <f t="shared" si="41"/>
        <v>0</v>
      </c>
      <c r="N76" s="49">
        <f t="shared" si="41"/>
        <v>0</v>
      </c>
      <c r="O76" s="49">
        <f t="shared" si="41"/>
        <v>0</v>
      </c>
      <c r="P76" s="49">
        <f t="shared" si="41"/>
        <v>0</v>
      </c>
      <c r="Q76" s="49">
        <f t="shared" si="41"/>
        <v>0</v>
      </c>
      <c r="R76" s="49">
        <f t="shared" si="41"/>
        <v>0</v>
      </c>
      <c r="S76" s="49">
        <f t="shared" si="41"/>
        <v>0</v>
      </c>
      <c r="T76" s="49">
        <f t="shared" si="41"/>
        <v>0</v>
      </c>
      <c r="U76" s="49">
        <f t="shared" si="41"/>
        <v>0</v>
      </c>
      <c r="V76" s="49">
        <f t="shared" si="41"/>
        <v>0</v>
      </c>
      <c r="W76" s="49">
        <f t="shared" si="41"/>
        <v>0</v>
      </c>
      <c r="X76" s="49">
        <f t="shared" si="41"/>
        <v>0</v>
      </c>
      <c r="Y76" s="49">
        <f t="shared" si="41"/>
        <v>0</v>
      </c>
      <c r="Z76" s="49">
        <f t="shared" si="41"/>
        <v>0</v>
      </c>
      <c r="AA76" s="49">
        <f t="shared" si="41"/>
        <v>0</v>
      </c>
      <c r="AB76" s="49">
        <f t="shared" si="41"/>
        <v>0</v>
      </c>
      <c r="AC76" s="54">
        <f t="shared" si="41"/>
        <v>0</v>
      </c>
    </row>
    <row r="77" spans="1:29">
      <c r="A77" s="59"/>
      <c r="B77" s="49"/>
      <c r="C77" s="49">
        <f t="shared" si="42"/>
        <v>0</v>
      </c>
      <c r="D77" s="49">
        <f t="shared" si="41"/>
        <v>0</v>
      </c>
      <c r="E77" s="49">
        <f t="shared" si="41"/>
        <v>0</v>
      </c>
      <c r="F77" s="49">
        <f t="shared" si="41"/>
        <v>0</v>
      </c>
      <c r="G77" s="49">
        <f t="shared" si="41"/>
        <v>0</v>
      </c>
      <c r="H77" s="49">
        <f t="shared" si="41"/>
        <v>0</v>
      </c>
      <c r="I77" s="49">
        <f t="shared" si="41"/>
        <v>0</v>
      </c>
      <c r="J77" s="49">
        <f t="shared" si="41"/>
        <v>0</v>
      </c>
      <c r="K77" s="49">
        <f t="shared" si="41"/>
        <v>0</v>
      </c>
      <c r="L77" s="49">
        <f t="shared" si="41"/>
        <v>0</v>
      </c>
      <c r="M77" s="49">
        <f t="shared" si="41"/>
        <v>0</v>
      </c>
      <c r="N77" s="49">
        <f t="shared" ref="D77:AC80" si="43">SUM(M77*1.02)</f>
        <v>0</v>
      </c>
      <c r="O77" s="49">
        <f t="shared" si="43"/>
        <v>0</v>
      </c>
      <c r="P77" s="49">
        <f t="shared" si="43"/>
        <v>0</v>
      </c>
      <c r="Q77" s="49">
        <f t="shared" si="43"/>
        <v>0</v>
      </c>
      <c r="R77" s="49">
        <f t="shared" si="43"/>
        <v>0</v>
      </c>
      <c r="S77" s="49">
        <f t="shared" si="43"/>
        <v>0</v>
      </c>
      <c r="T77" s="49">
        <f t="shared" si="43"/>
        <v>0</v>
      </c>
      <c r="U77" s="49">
        <f t="shared" si="43"/>
        <v>0</v>
      </c>
      <c r="V77" s="49">
        <f t="shared" si="43"/>
        <v>0</v>
      </c>
      <c r="W77" s="49">
        <f t="shared" si="43"/>
        <v>0</v>
      </c>
      <c r="X77" s="49">
        <f t="shared" si="43"/>
        <v>0</v>
      </c>
      <c r="Y77" s="49">
        <f t="shared" si="43"/>
        <v>0</v>
      </c>
      <c r="Z77" s="49">
        <f t="shared" si="43"/>
        <v>0</v>
      </c>
      <c r="AA77" s="49">
        <f t="shared" si="43"/>
        <v>0</v>
      </c>
      <c r="AB77" s="49">
        <f t="shared" si="43"/>
        <v>0</v>
      </c>
      <c r="AC77" s="54">
        <f t="shared" si="43"/>
        <v>0</v>
      </c>
    </row>
    <row r="78" spans="1:29">
      <c r="A78" s="59"/>
      <c r="B78" s="49"/>
      <c r="C78" s="49">
        <f t="shared" si="42"/>
        <v>0</v>
      </c>
      <c r="D78" s="49">
        <f t="shared" si="43"/>
        <v>0</v>
      </c>
      <c r="E78" s="49">
        <f t="shared" si="43"/>
        <v>0</v>
      </c>
      <c r="F78" s="49">
        <f t="shared" si="43"/>
        <v>0</v>
      </c>
      <c r="G78" s="49">
        <f t="shared" si="43"/>
        <v>0</v>
      </c>
      <c r="H78" s="49">
        <f t="shared" si="43"/>
        <v>0</v>
      </c>
      <c r="I78" s="49">
        <f t="shared" si="43"/>
        <v>0</v>
      </c>
      <c r="J78" s="49">
        <f t="shared" si="43"/>
        <v>0</v>
      </c>
      <c r="K78" s="49">
        <f t="shared" si="43"/>
        <v>0</v>
      </c>
      <c r="L78" s="49">
        <f t="shared" si="43"/>
        <v>0</v>
      </c>
      <c r="M78" s="49">
        <f t="shared" si="43"/>
        <v>0</v>
      </c>
      <c r="N78" s="49">
        <f t="shared" si="43"/>
        <v>0</v>
      </c>
      <c r="O78" s="49">
        <f t="shared" si="43"/>
        <v>0</v>
      </c>
      <c r="P78" s="49">
        <f t="shared" si="43"/>
        <v>0</v>
      </c>
      <c r="Q78" s="49">
        <f t="shared" si="43"/>
        <v>0</v>
      </c>
      <c r="R78" s="49">
        <f t="shared" si="43"/>
        <v>0</v>
      </c>
      <c r="S78" s="49">
        <f t="shared" si="43"/>
        <v>0</v>
      </c>
      <c r="T78" s="49">
        <f t="shared" si="43"/>
        <v>0</v>
      </c>
      <c r="U78" s="49">
        <f t="shared" si="43"/>
        <v>0</v>
      </c>
      <c r="V78" s="49">
        <f t="shared" si="43"/>
        <v>0</v>
      </c>
      <c r="W78" s="49">
        <f t="shared" si="43"/>
        <v>0</v>
      </c>
      <c r="X78" s="49">
        <f t="shared" si="43"/>
        <v>0</v>
      </c>
      <c r="Y78" s="49">
        <f t="shared" si="43"/>
        <v>0</v>
      </c>
      <c r="Z78" s="49">
        <f t="shared" si="43"/>
        <v>0</v>
      </c>
      <c r="AA78" s="49">
        <f t="shared" si="43"/>
        <v>0</v>
      </c>
      <c r="AB78" s="49">
        <f t="shared" si="43"/>
        <v>0</v>
      </c>
      <c r="AC78" s="54">
        <f t="shared" si="43"/>
        <v>0</v>
      </c>
    </row>
    <row r="79" spans="1:29">
      <c r="A79" s="59"/>
      <c r="B79" s="49"/>
      <c r="C79" s="49">
        <f t="shared" si="42"/>
        <v>0</v>
      </c>
      <c r="D79" s="49">
        <f t="shared" si="43"/>
        <v>0</v>
      </c>
      <c r="E79" s="49">
        <f t="shared" si="43"/>
        <v>0</v>
      </c>
      <c r="F79" s="49">
        <f t="shared" si="43"/>
        <v>0</v>
      </c>
      <c r="G79" s="49">
        <f t="shared" si="43"/>
        <v>0</v>
      </c>
      <c r="H79" s="49">
        <f t="shared" si="43"/>
        <v>0</v>
      </c>
      <c r="I79" s="49">
        <f t="shared" si="43"/>
        <v>0</v>
      </c>
      <c r="J79" s="49">
        <f t="shared" si="43"/>
        <v>0</v>
      </c>
      <c r="K79" s="49">
        <f t="shared" si="43"/>
        <v>0</v>
      </c>
      <c r="L79" s="49">
        <f t="shared" si="43"/>
        <v>0</v>
      </c>
      <c r="M79" s="49">
        <f t="shared" si="43"/>
        <v>0</v>
      </c>
      <c r="N79" s="49">
        <f t="shared" si="43"/>
        <v>0</v>
      </c>
      <c r="O79" s="49">
        <f t="shared" si="43"/>
        <v>0</v>
      </c>
      <c r="P79" s="49">
        <f t="shared" si="43"/>
        <v>0</v>
      </c>
      <c r="Q79" s="49">
        <f t="shared" si="43"/>
        <v>0</v>
      </c>
      <c r="R79" s="49">
        <f t="shared" si="43"/>
        <v>0</v>
      </c>
      <c r="S79" s="49">
        <f t="shared" si="43"/>
        <v>0</v>
      </c>
      <c r="T79" s="49">
        <f t="shared" si="43"/>
        <v>0</v>
      </c>
      <c r="U79" s="49">
        <f t="shared" si="43"/>
        <v>0</v>
      </c>
      <c r="V79" s="49">
        <f t="shared" si="43"/>
        <v>0</v>
      </c>
      <c r="W79" s="49">
        <f t="shared" si="43"/>
        <v>0</v>
      </c>
      <c r="X79" s="49">
        <f t="shared" si="43"/>
        <v>0</v>
      </c>
      <c r="Y79" s="49">
        <f t="shared" si="43"/>
        <v>0</v>
      </c>
      <c r="Z79" s="49">
        <f t="shared" si="43"/>
        <v>0</v>
      </c>
      <c r="AA79" s="49">
        <f t="shared" si="43"/>
        <v>0</v>
      </c>
      <c r="AB79" s="49">
        <f t="shared" si="43"/>
        <v>0</v>
      </c>
      <c r="AC79" s="54">
        <f t="shared" si="43"/>
        <v>0</v>
      </c>
    </row>
    <row r="80" spans="1:29">
      <c r="A80" s="61"/>
      <c r="B80" s="57"/>
      <c r="C80" s="57">
        <f t="shared" si="42"/>
        <v>0</v>
      </c>
      <c r="D80" s="57">
        <f t="shared" si="43"/>
        <v>0</v>
      </c>
      <c r="E80" s="57">
        <f t="shared" si="43"/>
        <v>0</v>
      </c>
      <c r="F80" s="57">
        <f t="shared" si="43"/>
        <v>0</v>
      </c>
      <c r="G80" s="57">
        <f t="shared" si="43"/>
        <v>0</v>
      </c>
      <c r="H80" s="57">
        <f t="shared" si="43"/>
        <v>0</v>
      </c>
      <c r="I80" s="57">
        <f t="shared" si="43"/>
        <v>0</v>
      </c>
      <c r="J80" s="57">
        <f t="shared" si="43"/>
        <v>0</v>
      </c>
      <c r="K80" s="57">
        <f t="shared" si="43"/>
        <v>0</v>
      </c>
      <c r="L80" s="57">
        <f t="shared" si="43"/>
        <v>0</v>
      </c>
      <c r="M80" s="57">
        <f t="shared" si="43"/>
        <v>0</v>
      </c>
      <c r="N80" s="57">
        <f t="shared" si="43"/>
        <v>0</v>
      </c>
      <c r="O80" s="57">
        <f t="shared" si="43"/>
        <v>0</v>
      </c>
      <c r="P80" s="57">
        <f t="shared" si="43"/>
        <v>0</v>
      </c>
      <c r="Q80" s="57">
        <f t="shared" si="43"/>
        <v>0</v>
      </c>
      <c r="R80" s="57">
        <f t="shared" si="43"/>
        <v>0</v>
      </c>
      <c r="S80" s="57">
        <f t="shared" si="43"/>
        <v>0</v>
      </c>
      <c r="T80" s="57">
        <f t="shared" si="43"/>
        <v>0</v>
      </c>
      <c r="U80" s="57">
        <f t="shared" si="43"/>
        <v>0</v>
      </c>
      <c r="V80" s="57">
        <f t="shared" si="43"/>
        <v>0</v>
      </c>
      <c r="W80" s="57">
        <f t="shared" si="43"/>
        <v>0</v>
      </c>
      <c r="X80" s="57">
        <f t="shared" si="43"/>
        <v>0</v>
      </c>
      <c r="Y80" s="57">
        <f t="shared" si="43"/>
        <v>0</v>
      </c>
      <c r="Z80" s="57">
        <f t="shared" si="43"/>
        <v>0</v>
      </c>
      <c r="AA80" s="57">
        <f t="shared" si="43"/>
        <v>0</v>
      </c>
      <c r="AB80" s="57">
        <f t="shared" si="43"/>
        <v>0</v>
      </c>
      <c r="AC80" s="58">
        <f t="shared" si="4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workbookViewId="0">
      <selection activeCell="H1" sqref="H1:K1"/>
    </sheetView>
  </sheetViews>
  <sheetFormatPr defaultRowHeight="15"/>
  <cols>
    <col min="1" max="1" width="17.5703125" style="5" bestFit="1" customWidth="1"/>
    <col min="2" max="2" width="33.5703125" style="5" bestFit="1" customWidth="1"/>
    <col min="3" max="3" width="20.5703125" style="5" bestFit="1" customWidth="1"/>
    <col min="4" max="4" width="7.42578125" style="5" bestFit="1" customWidth="1"/>
    <col min="5" max="5" width="14.140625" style="5" bestFit="1" customWidth="1"/>
    <col min="6" max="6" width="7.7109375" style="5" bestFit="1" customWidth="1"/>
    <col min="7" max="7" width="11.42578125" style="5" bestFit="1" customWidth="1"/>
    <col min="8" max="8" width="9.140625" style="5"/>
    <col min="9" max="9" width="13.5703125" style="5" bestFit="1" customWidth="1"/>
    <col min="10" max="10" width="9.140625" style="5"/>
    <col min="11" max="11" width="11" style="5" bestFit="1" customWidth="1"/>
    <col min="12" max="13" width="9.140625" style="5"/>
    <col min="14" max="14" width="14.140625" style="5" bestFit="1" customWidth="1"/>
    <col min="15" max="15" width="10.85546875" style="5" bestFit="1" customWidth="1"/>
    <col min="16" max="16" width="15.28515625" style="5" bestFit="1" customWidth="1"/>
    <col min="17" max="17" width="18.5703125" style="5" bestFit="1" customWidth="1"/>
    <col min="18" max="16384" width="9.140625" style="5"/>
  </cols>
  <sheetData>
    <row r="1" spans="1:17">
      <c r="C1" s="6" t="s">
        <v>112</v>
      </c>
      <c r="D1" s="6"/>
      <c r="E1" s="6"/>
      <c r="F1" s="6"/>
      <c r="G1" s="6"/>
      <c r="H1" s="5">
        <f>SUM(H4:H63)</f>
        <v>45465.4978063331</v>
      </c>
      <c r="I1" s="5">
        <f>SUM(I4:I63)</f>
        <v>440</v>
      </c>
      <c r="J1" s="5">
        <f>SUM(J4:J63)</f>
        <v>3780</v>
      </c>
      <c r="K1" s="5">
        <f>SUM(K4:K63)</f>
        <v>1144</v>
      </c>
    </row>
    <row r="2" spans="1:17">
      <c r="B2" s="6" t="s">
        <v>113</v>
      </c>
      <c r="C2" s="5" t="s">
        <v>114</v>
      </c>
      <c r="D2" s="66" t="s">
        <v>115</v>
      </c>
      <c r="E2" s="66"/>
      <c r="F2" s="66"/>
      <c r="G2" s="66"/>
      <c r="H2" s="66" t="s">
        <v>116</v>
      </c>
      <c r="I2" s="66"/>
      <c r="J2" s="66"/>
      <c r="K2" s="66"/>
      <c r="N2" s="68" t="s">
        <v>117</v>
      </c>
      <c r="O2" s="69"/>
    </row>
    <row r="3" spans="1:17">
      <c r="B3" s="6" t="s">
        <v>5</v>
      </c>
      <c r="C3" s="6" t="s">
        <v>118</v>
      </c>
      <c r="D3" s="6" t="s">
        <v>119</v>
      </c>
      <c r="E3" s="6" t="s">
        <v>120</v>
      </c>
      <c r="F3" s="6" t="s">
        <v>121</v>
      </c>
      <c r="G3" s="6" t="s">
        <v>122</v>
      </c>
      <c r="H3" s="6" t="s">
        <v>119</v>
      </c>
      <c r="I3" s="6" t="s">
        <v>120</v>
      </c>
      <c r="J3" s="6" t="s">
        <v>121</v>
      </c>
      <c r="K3" s="6" t="s">
        <v>122</v>
      </c>
      <c r="N3" s="7" t="s">
        <v>123</v>
      </c>
      <c r="O3" s="8" t="e">
        <f>SUM('Balance Sheet'!#REF!)</f>
        <v>#REF!</v>
      </c>
    </row>
    <row r="4" spans="1:17">
      <c r="A4" s="5" t="s">
        <v>124</v>
      </c>
      <c r="B4" s="5" t="s">
        <v>125</v>
      </c>
      <c r="C4" s="5">
        <v>1</v>
      </c>
      <c r="D4" s="5">
        <v>32417.154712091276</v>
      </c>
      <c r="E4" s="5">
        <v>2000</v>
      </c>
      <c r="F4" s="5">
        <v>5000</v>
      </c>
      <c r="G4" s="5">
        <v>550</v>
      </c>
      <c r="H4" s="5">
        <v>33065.4978063331</v>
      </c>
      <c r="I4" s="5">
        <f t="shared" ref="I4" si="0">SUM(E4*$C4)</f>
        <v>2000</v>
      </c>
      <c r="J4" s="5">
        <f t="shared" ref="J4" si="1">SUM(F4*$C4)</f>
        <v>5000</v>
      </c>
      <c r="K4" s="5">
        <f t="shared" ref="K4" si="2">SUM(G4*$C4)</f>
        <v>550</v>
      </c>
      <c r="N4" s="7" t="s">
        <v>126</v>
      </c>
      <c r="O4" s="8" t="e">
        <f>SUM('Balance Sheet'!#REF!)</f>
        <v>#REF!</v>
      </c>
    </row>
    <row r="5" spans="1:17">
      <c r="A5" s="5" t="s">
        <v>127</v>
      </c>
      <c r="B5" s="5" t="s">
        <v>128</v>
      </c>
      <c r="C5" s="5">
        <v>1</v>
      </c>
      <c r="D5" s="5">
        <v>-5000</v>
      </c>
      <c r="E5" s="5">
        <v>-200</v>
      </c>
      <c r="F5" s="5">
        <v>-200</v>
      </c>
      <c r="G5" s="5">
        <v>300</v>
      </c>
      <c r="H5" s="5">
        <f>SUM(D5*$C5)</f>
        <v>-5000</v>
      </c>
      <c r="I5" s="5">
        <f t="shared" ref="I5:K5" si="3">SUM(E5*$C5)</f>
        <v>-200</v>
      </c>
      <c r="J5" s="5">
        <f t="shared" si="3"/>
        <v>-200</v>
      </c>
      <c r="K5" s="5">
        <f t="shared" si="3"/>
        <v>300</v>
      </c>
      <c r="N5" s="7" t="s">
        <v>129</v>
      </c>
      <c r="O5" s="8" t="e">
        <f>SUM('Balance Sheet'!#REF!)</f>
        <v>#REF!</v>
      </c>
    </row>
    <row r="6" spans="1:17">
      <c r="H6" s="5">
        <f t="shared" ref="H6:H64" si="4">SUM(D6*$C6)</f>
        <v>0</v>
      </c>
      <c r="I6" s="5">
        <f t="shared" ref="I6:I64" si="5">SUM(E6*$C6)</f>
        <v>0</v>
      </c>
      <c r="J6" s="5">
        <f t="shared" ref="J6:J64" si="6">SUM(F6*$C6)</f>
        <v>0</v>
      </c>
      <c r="K6" s="5">
        <f t="shared" ref="K6:K64" si="7">SUM(G6*$C6)</f>
        <v>0</v>
      </c>
      <c r="N6" s="9" t="s">
        <v>130</v>
      </c>
      <c r="O6" s="10" t="e">
        <f>SUM('Balance Sheet'!#REF!)</f>
        <v>#REF!</v>
      </c>
    </row>
    <row r="7" spans="1:17">
      <c r="H7" s="5">
        <f t="shared" si="4"/>
        <v>0</v>
      </c>
      <c r="I7" s="5">
        <f t="shared" si="5"/>
        <v>0</v>
      </c>
      <c r="J7" s="5">
        <f t="shared" si="6"/>
        <v>0</v>
      </c>
      <c r="K7" s="5">
        <f t="shared" si="7"/>
        <v>0</v>
      </c>
    </row>
    <row r="8" spans="1:17">
      <c r="A8" s="5" t="s">
        <v>131</v>
      </c>
      <c r="B8" s="5" t="s">
        <v>132</v>
      </c>
      <c r="C8" s="5">
        <v>2</v>
      </c>
      <c r="D8" s="23">
        <v>2500</v>
      </c>
      <c r="E8" s="23">
        <v>-200</v>
      </c>
      <c r="F8" s="23">
        <v>200</v>
      </c>
      <c r="G8" s="23">
        <v>100</v>
      </c>
      <c r="H8" s="5">
        <f t="shared" si="4"/>
        <v>5000</v>
      </c>
      <c r="I8" s="5">
        <f t="shared" si="5"/>
        <v>-400</v>
      </c>
      <c r="J8" s="5">
        <f t="shared" si="6"/>
        <v>400</v>
      </c>
      <c r="K8" s="5">
        <f t="shared" si="7"/>
        <v>200</v>
      </c>
    </row>
    <row r="9" spans="1:17">
      <c r="H9" s="5">
        <f t="shared" si="4"/>
        <v>0</v>
      </c>
      <c r="I9" s="5">
        <f t="shared" si="5"/>
        <v>0</v>
      </c>
      <c r="J9" s="5">
        <f t="shared" si="6"/>
        <v>0</v>
      </c>
      <c r="K9" s="5">
        <f t="shared" si="7"/>
        <v>0</v>
      </c>
      <c r="N9" s="5" t="s">
        <v>133</v>
      </c>
      <c r="O9" s="5" t="s">
        <v>134</v>
      </c>
      <c r="P9" s="5" t="s">
        <v>135</v>
      </c>
      <c r="Q9" s="5" t="s">
        <v>136</v>
      </c>
    </row>
    <row r="10" spans="1:17">
      <c r="H10" s="5">
        <f t="shared" si="4"/>
        <v>0</v>
      </c>
      <c r="I10" s="5">
        <f t="shared" si="5"/>
        <v>0</v>
      </c>
      <c r="J10" s="5">
        <f t="shared" si="6"/>
        <v>0</v>
      </c>
      <c r="K10" s="5">
        <f t="shared" si="7"/>
        <v>0</v>
      </c>
      <c r="M10" s="5" t="s">
        <v>53</v>
      </c>
      <c r="N10" s="5">
        <v>250000</v>
      </c>
      <c r="O10" s="5">
        <v>0.02</v>
      </c>
      <c r="P10" s="5">
        <f>SUM(N10*O10)</f>
        <v>5000</v>
      </c>
      <c r="Q10" s="5">
        <f>SUM(N10+P10)*0.1</f>
        <v>25500</v>
      </c>
    </row>
    <row r="11" spans="1:17">
      <c r="A11" s="5" t="s">
        <v>137</v>
      </c>
      <c r="B11" s="5" t="s">
        <v>138</v>
      </c>
      <c r="C11" s="5">
        <v>2</v>
      </c>
      <c r="D11" s="23">
        <v>1000</v>
      </c>
      <c r="E11" s="23">
        <v>-50</v>
      </c>
      <c r="F11" s="23">
        <v>-100</v>
      </c>
      <c r="G11" s="23">
        <v>200</v>
      </c>
      <c r="H11" s="5">
        <f t="shared" si="4"/>
        <v>2000</v>
      </c>
      <c r="I11" s="5">
        <f t="shared" si="5"/>
        <v>-100</v>
      </c>
      <c r="J11" s="5">
        <f t="shared" si="6"/>
        <v>-200</v>
      </c>
      <c r="K11" s="5">
        <f t="shared" si="7"/>
        <v>400</v>
      </c>
      <c r="M11" s="5" t="s">
        <v>54</v>
      </c>
      <c r="N11" s="5">
        <f>SUM(N10+P10)</f>
        <v>255000</v>
      </c>
      <c r="O11" s="5">
        <v>0.02</v>
      </c>
      <c r="P11" s="5">
        <f t="shared" ref="P11:P60" si="8">SUM(N11*O11)</f>
        <v>5100</v>
      </c>
      <c r="Q11" s="5">
        <f t="shared" ref="Q11:Q60" si="9">SUM(N11+P11)*0.1</f>
        <v>26010</v>
      </c>
    </row>
    <row r="12" spans="1:17">
      <c r="B12" s="5" t="s">
        <v>139</v>
      </c>
      <c r="H12" s="5">
        <f t="shared" si="4"/>
        <v>0</v>
      </c>
      <c r="I12" s="5">
        <f t="shared" si="5"/>
        <v>0</v>
      </c>
      <c r="J12" s="5">
        <f t="shared" si="6"/>
        <v>0</v>
      </c>
      <c r="K12" s="5">
        <f t="shared" si="7"/>
        <v>0</v>
      </c>
      <c r="M12" s="5" t="s">
        <v>140</v>
      </c>
      <c r="N12" s="5">
        <v>258264</v>
      </c>
      <c r="O12" s="5">
        <v>0.02</v>
      </c>
      <c r="P12" s="5">
        <f t="shared" si="8"/>
        <v>5165.28</v>
      </c>
      <c r="Q12" s="5">
        <f t="shared" si="9"/>
        <v>26342.928000000004</v>
      </c>
    </row>
    <row r="13" spans="1:17">
      <c r="H13" s="5">
        <f t="shared" si="4"/>
        <v>0</v>
      </c>
      <c r="I13" s="5">
        <f t="shared" si="5"/>
        <v>0</v>
      </c>
      <c r="J13" s="5">
        <f t="shared" si="6"/>
        <v>0</v>
      </c>
      <c r="K13" s="5">
        <f t="shared" si="7"/>
        <v>0</v>
      </c>
      <c r="M13" s="5" t="s">
        <v>55</v>
      </c>
      <c r="N13" s="5">
        <f>SUM(N12+P12)</f>
        <v>263429.28000000003</v>
      </c>
      <c r="O13" s="5">
        <v>0.02</v>
      </c>
      <c r="P13" s="5">
        <f t="shared" si="8"/>
        <v>5268.5856000000003</v>
      </c>
      <c r="Q13" s="5">
        <f t="shared" si="9"/>
        <v>26869.786560000004</v>
      </c>
    </row>
    <row r="14" spans="1:17">
      <c r="H14" s="5">
        <f t="shared" si="4"/>
        <v>0</v>
      </c>
      <c r="I14" s="5">
        <f t="shared" si="5"/>
        <v>0</v>
      </c>
      <c r="J14" s="5">
        <f t="shared" si="6"/>
        <v>0</v>
      </c>
      <c r="K14" s="5">
        <f t="shared" si="7"/>
        <v>0</v>
      </c>
      <c r="M14" s="5" t="s">
        <v>140</v>
      </c>
      <c r="N14" s="5">
        <v>285025</v>
      </c>
      <c r="O14" s="5">
        <v>0.02</v>
      </c>
      <c r="P14" s="5">
        <f t="shared" si="8"/>
        <v>5700.5</v>
      </c>
      <c r="Q14" s="5">
        <f t="shared" si="9"/>
        <v>29072.550000000003</v>
      </c>
    </row>
    <row r="15" spans="1:17">
      <c r="A15" s="5" t="s">
        <v>141</v>
      </c>
      <c r="B15" s="5" t="s">
        <v>142</v>
      </c>
      <c r="H15" s="5">
        <f t="shared" si="4"/>
        <v>0</v>
      </c>
      <c r="I15" s="5">
        <f t="shared" si="5"/>
        <v>0</v>
      </c>
      <c r="J15" s="5">
        <f t="shared" si="6"/>
        <v>0</v>
      </c>
      <c r="K15" s="5">
        <f t="shared" si="7"/>
        <v>0</v>
      </c>
      <c r="M15" s="5" t="s">
        <v>56</v>
      </c>
      <c r="N15" s="5">
        <v>305284</v>
      </c>
      <c r="O15" s="5">
        <v>0.02</v>
      </c>
      <c r="P15" s="5">
        <f t="shared" si="8"/>
        <v>6105.68</v>
      </c>
      <c r="Q15" s="5">
        <f>SUM(N15+P15)*0.1</f>
        <v>31138.968000000001</v>
      </c>
    </row>
    <row r="16" spans="1:17">
      <c r="H16" s="5">
        <f t="shared" si="4"/>
        <v>0</v>
      </c>
      <c r="I16" s="5">
        <f t="shared" si="5"/>
        <v>0</v>
      </c>
      <c r="J16" s="5">
        <f t="shared" si="6"/>
        <v>0</v>
      </c>
      <c r="K16" s="5">
        <f t="shared" si="7"/>
        <v>0</v>
      </c>
      <c r="M16" s="5" t="s">
        <v>57</v>
      </c>
      <c r="N16" s="51">
        <v>311583.57085824001</v>
      </c>
      <c r="O16" s="5">
        <v>0.02</v>
      </c>
      <c r="P16" s="5">
        <f t="shared" si="8"/>
        <v>6231.6714171648</v>
      </c>
      <c r="Q16" s="5">
        <f t="shared" si="9"/>
        <v>31781.524227540482</v>
      </c>
    </row>
    <row r="17" spans="1:17">
      <c r="H17" s="5">
        <f t="shared" si="4"/>
        <v>0</v>
      </c>
      <c r="I17" s="5">
        <f t="shared" si="5"/>
        <v>0</v>
      </c>
      <c r="J17" s="5">
        <f t="shared" si="6"/>
        <v>0</v>
      </c>
      <c r="K17" s="5">
        <f t="shared" si="7"/>
        <v>0</v>
      </c>
      <c r="M17" s="5" t="s">
        <v>58</v>
      </c>
      <c r="N17" s="5">
        <v>317815.24227540469</v>
      </c>
      <c r="O17" s="5">
        <v>0.02</v>
      </c>
      <c r="P17" s="5">
        <f t="shared" si="8"/>
        <v>6356.3048455080934</v>
      </c>
      <c r="Q17" s="5">
        <f t="shared" si="9"/>
        <v>32417.154712091276</v>
      </c>
    </row>
    <row r="18" spans="1:17">
      <c r="H18" s="5">
        <f t="shared" si="4"/>
        <v>0</v>
      </c>
      <c r="I18" s="5">
        <f t="shared" si="5"/>
        <v>0</v>
      </c>
      <c r="J18" s="5">
        <f t="shared" si="6"/>
        <v>0</v>
      </c>
      <c r="K18" s="5">
        <f t="shared" si="7"/>
        <v>0</v>
      </c>
      <c r="M18" s="5" t="s">
        <v>59</v>
      </c>
      <c r="N18" s="5">
        <f t="shared" ref="N15:N37" si="10">SUM(N17+P17)</f>
        <v>324171.54712091276</v>
      </c>
      <c r="O18" s="5">
        <v>0.02</v>
      </c>
      <c r="P18" s="5">
        <f t="shared" si="8"/>
        <v>6483.4309424182557</v>
      </c>
      <c r="Q18" s="5">
        <f t="shared" si="9"/>
        <v>33065.4978063331</v>
      </c>
    </row>
    <row r="19" spans="1:17">
      <c r="H19" s="5">
        <f t="shared" si="4"/>
        <v>0</v>
      </c>
      <c r="I19" s="5">
        <f t="shared" si="5"/>
        <v>0</v>
      </c>
      <c r="J19" s="5">
        <f t="shared" si="6"/>
        <v>0</v>
      </c>
      <c r="K19" s="5">
        <f t="shared" si="7"/>
        <v>0</v>
      </c>
      <c r="M19" s="5" t="s">
        <v>60</v>
      </c>
      <c r="N19" s="5">
        <f t="shared" si="10"/>
        <v>330654.97806333099</v>
      </c>
      <c r="O19" s="5">
        <v>0.02</v>
      </c>
      <c r="P19" s="5">
        <f t="shared" si="8"/>
        <v>6613.0995612666202</v>
      </c>
      <c r="Q19" s="5">
        <f t="shared" si="9"/>
        <v>33726.807762459757</v>
      </c>
    </row>
    <row r="20" spans="1:17">
      <c r="H20" s="5">
        <f t="shared" si="4"/>
        <v>0</v>
      </c>
      <c r="I20" s="5">
        <f t="shared" si="5"/>
        <v>0</v>
      </c>
      <c r="J20" s="5">
        <f t="shared" ref="J20:J22" si="11">SUM(F20*$C20)</f>
        <v>0</v>
      </c>
      <c r="K20" s="5">
        <f t="shared" ref="K20:K22" si="12">SUM(G20*$C20)</f>
        <v>0</v>
      </c>
      <c r="M20" s="5" t="s">
        <v>61</v>
      </c>
      <c r="N20" s="5">
        <f t="shared" si="10"/>
        <v>337268.07762459759</v>
      </c>
      <c r="O20" s="5">
        <v>0.02</v>
      </c>
      <c r="P20" s="5">
        <f t="shared" si="8"/>
        <v>6745.3615524919514</v>
      </c>
      <c r="Q20" s="5">
        <f t="shared" si="9"/>
        <v>34401.343917708953</v>
      </c>
    </row>
    <row r="21" spans="1:17">
      <c r="H21" s="5">
        <f t="shared" si="4"/>
        <v>0</v>
      </c>
      <c r="I21" s="5">
        <f t="shared" si="5"/>
        <v>0</v>
      </c>
      <c r="J21" s="5">
        <f t="shared" si="11"/>
        <v>0</v>
      </c>
      <c r="K21" s="5">
        <f t="shared" si="12"/>
        <v>0</v>
      </c>
      <c r="M21" s="5" t="s">
        <v>62</v>
      </c>
      <c r="N21" s="5">
        <f t="shared" si="10"/>
        <v>344013.43917708955</v>
      </c>
      <c r="O21" s="5">
        <v>0.02</v>
      </c>
      <c r="P21" s="5">
        <f t="shared" si="8"/>
        <v>6880.268783541791</v>
      </c>
      <c r="Q21" s="5">
        <f t="shared" si="9"/>
        <v>35089.370796063136</v>
      </c>
    </row>
    <row r="22" spans="1:17">
      <c r="A22" s="5" t="s">
        <v>143</v>
      </c>
      <c r="B22" s="5" t="s">
        <v>144</v>
      </c>
      <c r="C22" s="5">
        <v>4</v>
      </c>
      <c r="D22" s="23">
        <v>-900</v>
      </c>
      <c r="E22" s="23">
        <v>-90</v>
      </c>
      <c r="F22" s="23">
        <v>-180</v>
      </c>
      <c r="G22" s="23">
        <v>-45</v>
      </c>
      <c r="H22" s="5">
        <f t="shared" si="4"/>
        <v>-3600</v>
      </c>
      <c r="I22" s="5">
        <f t="shared" si="5"/>
        <v>-360</v>
      </c>
      <c r="J22" s="5">
        <f t="shared" si="11"/>
        <v>-720</v>
      </c>
      <c r="K22" s="5">
        <f t="shared" si="12"/>
        <v>-180</v>
      </c>
      <c r="O22" s="5">
        <v>0.02</v>
      </c>
      <c r="P22" s="5">
        <f t="shared" si="8"/>
        <v>0</v>
      </c>
      <c r="Q22" s="5">
        <f t="shared" si="9"/>
        <v>0</v>
      </c>
    </row>
    <row r="23" spans="1:17">
      <c r="H23" s="5">
        <f t="shared" si="4"/>
        <v>0</v>
      </c>
      <c r="I23" s="5">
        <f t="shared" si="5"/>
        <v>0</v>
      </c>
      <c r="J23" s="5">
        <f t="shared" si="6"/>
        <v>0</v>
      </c>
      <c r="K23" s="5">
        <f t="shared" si="7"/>
        <v>0</v>
      </c>
      <c r="M23" s="5" t="s">
        <v>63</v>
      </c>
      <c r="N23" s="5">
        <f>SUM(N21+P21)</f>
        <v>350893.70796063135</v>
      </c>
      <c r="O23" s="5">
        <v>0.02</v>
      </c>
      <c r="P23" s="5">
        <f t="shared" si="8"/>
        <v>7017.8741592126271</v>
      </c>
      <c r="Q23" s="5">
        <f t="shared" si="9"/>
        <v>35791.158211984402</v>
      </c>
    </row>
    <row r="24" spans="1:17">
      <c r="A24" s="5" t="s">
        <v>145</v>
      </c>
      <c r="B24" s="5" t="s">
        <v>146</v>
      </c>
      <c r="C24" s="5">
        <v>1</v>
      </c>
      <c r="D24" s="5">
        <v>500</v>
      </c>
      <c r="E24" s="5">
        <v>60</v>
      </c>
      <c r="F24" s="5">
        <v>90</v>
      </c>
      <c r="G24" s="5">
        <v>4</v>
      </c>
      <c r="H24" s="5">
        <f t="shared" si="4"/>
        <v>500</v>
      </c>
      <c r="I24" s="5">
        <f t="shared" si="5"/>
        <v>60</v>
      </c>
      <c r="J24" s="5">
        <f t="shared" si="6"/>
        <v>90</v>
      </c>
      <c r="K24" s="5">
        <f t="shared" si="7"/>
        <v>4</v>
      </c>
      <c r="M24" s="5" t="s">
        <v>64</v>
      </c>
      <c r="N24" s="5">
        <f t="shared" si="10"/>
        <v>357911.58211984398</v>
      </c>
      <c r="O24" s="5">
        <v>0.02</v>
      </c>
      <c r="P24" s="5">
        <f t="shared" si="8"/>
        <v>7158.2316423968796</v>
      </c>
      <c r="Q24" s="5">
        <f t="shared" si="9"/>
        <v>36506.981376224088</v>
      </c>
    </row>
    <row r="25" spans="1:17">
      <c r="H25" s="5">
        <f t="shared" si="4"/>
        <v>0</v>
      </c>
      <c r="I25" s="5">
        <f t="shared" si="5"/>
        <v>0</v>
      </c>
      <c r="J25" s="5">
        <f t="shared" si="6"/>
        <v>0</v>
      </c>
      <c r="K25" s="5">
        <f t="shared" si="7"/>
        <v>0</v>
      </c>
      <c r="M25" s="5" t="s">
        <v>65</v>
      </c>
      <c r="N25" s="5">
        <f t="shared" si="10"/>
        <v>365069.81376224087</v>
      </c>
      <c r="O25" s="5">
        <v>0.02</v>
      </c>
      <c r="P25" s="5">
        <f t="shared" si="8"/>
        <v>7301.3962752448178</v>
      </c>
      <c r="Q25" s="5">
        <f t="shared" si="9"/>
        <v>37237.121003748573</v>
      </c>
    </row>
    <row r="26" spans="1:17">
      <c r="A26" s="5" t="s">
        <v>147</v>
      </c>
      <c r="H26" s="5">
        <f t="shared" si="4"/>
        <v>0</v>
      </c>
      <c r="I26" s="5">
        <f t="shared" si="5"/>
        <v>0</v>
      </c>
      <c r="J26" s="5">
        <f t="shared" si="6"/>
        <v>0</v>
      </c>
      <c r="K26" s="5">
        <f t="shared" si="7"/>
        <v>0</v>
      </c>
      <c r="M26" s="5" t="s">
        <v>66</v>
      </c>
      <c r="N26" s="5">
        <f t="shared" si="10"/>
        <v>372371.2100374857</v>
      </c>
      <c r="O26" s="5">
        <v>0.02</v>
      </c>
      <c r="P26" s="5">
        <f t="shared" si="8"/>
        <v>7447.4242007497141</v>
      </c>
      <c r="Q26" s="5">
        <f t="shared" si="9"/>
        <v>37981.863423823546</v>
      </c>
    </row>
    <row r="27" spans="1:17">
      <c r="A27" s="5" t="s">
        <v>148</v>
      </c>
      <c r="B27" s="5" t="s">
        <v>149</v>
      </c>
      <c r="C27" s="5">
        <v>1</v>
      </c>
      <c r="D27" s="5">
        <v>500</v>
      </c>
      <c r="E27" s="5">
        <v>-60</v>
      </c>
      <c r="F27" s="5">
        <v>-90</v>
      </c>
      <c r="G27" s="5">
        <v>-10</v>
      </c>
      <c r="H27" s="5">
        <f t="shared" si="4"/>
        <v>500</v>
      </c>
      <c r="I27" s="5">
        <f t="shared" si="5"/>
        <v>-60</v>
      </c>
      <c r="J27" s="5">
        <f t="shared" si="6"/>
        <v>-90</v>
      </c>
      <c r="K27" s="5">
        <f t="shared" si="7"/>
        <v>-10</v>
      </c>
      <c r="M27" s="5" t="s">
        <v>67</v>
      </c>
      <c r="N27" s="5">
        <f t="shared" si="10"/>
        <v>379818.63423823542</v>
      </c>
      <c r="O27" s="5">
        <v>0.02</v>
      </c>
      <c r="P27" s="5">
        <f t="shared" si="8"/>
        <v>7596.3726847647085</v>
      </c>
      <c r="Q27" s="5">
        <f t="shared" si="9"/>
        <v>38741.500692300018</v>
      </c>
    </row>
    <row r="28" spans="1:17">
      <c r="B28" s="5" t="s">
        <v>150</v>
      </c>
      <c r="C28" s="5">
        <v>1</v>
      </c>
      <c r="D28" s="5">
        <v>5000</v>
      </c>
      <c r="E28" s="5">
        <v>-300</v>
      </c>
      <c r="F28" s="5">
        <v>-200</v>
      </c>
      <c r="G28" s="5">
        <v>-100</v>
      </c>
      <c r="H28" s="5">
        <f t="shared" ref="H28:H30" si="13">SUM(D28*$C28)</f>
        <v>5000</v>
      </c>
      <c r="I28" s="5">
        <f t="shared" ref="I28:I30" si="14">SUM(E28*$C28)</f>
        <v>-300</v>
      </c>
      <c r="J28" s="5">
        <f t="shared" ref="J28:J30" si="15">SUM(F28*$C28)</f>
        <v>-200</v>
      </c>
      <c r="K28" s="5">
        <f t="shared" ref="K28:K30" si="16">SUM(G28*$C28)</f>
        <v>-100</v>
      </c>
      <c r="M28" s="5" t="s">
        <v>68</v>
      </c>
      <c r="N28" s="5">
        <f t="shared" si="10"/>
        <v>387415.00692300015</v>
      </c>
      <c r="O28" s="5">
        <v>0.02</v>
      </c>
      <c r="P28" s="5">
        <f t="shared" si="8"/>
        <v>7748.3001384600029</v>
      </c>
      <c r="Q28" s="5">
        <f t="shared" si="9"/>
        <v>39516.330706146022</v>
      </c>
    </row>
    <row r="29" spans="1:17">
      <c r="A29" s="5" t="s">
        <v>151</v>
      </c>
      <c r="H29" s="5">
        <f t="shared" si="13"/>
        <v>0</v>
      </c>
      <c r="I29" s="5">
        <f t="shared" si="14"/>
        <v>0</v>
      </c>
      <c r="J29" s="5">
        <f t="shared" si="15"/>
        <v>0</v>
      </c>
      <c r="K29" s="5">
        <f t="shared" si="16"/>
        <v>0</v>
      </c>
      <c r="M29" s="5" t="s">
        <v>69</v>
      </c>
      <c r="N29" s="5">
        <f t="shared" si="10"/>
        <v>395163.30706146016</v>
      </c>
      <c r="O29" s="5">
        <v>0.02</v>
      </c>
      <c r="P29" s="5">
        <f t="shared" si="8"/>
        <v>7903.2661412292036</v>
      </c>
      <c r="Q29" s="5">
        <f t="shared" si="9"/>
        <v>40306.65732026894</v>
      </c>
    </row>
    <row r="30" spans="1:17">
      <c r="H30" s="5">
        <f t="shared" si="13"/>
        <v>0</v>
      </c>
      <c r="I30" s="5">
        <f t="shared" si="14"/>
        <v>0</v>
      </c>
      <c r="J30" s="5">
        <f t="shared" si="15"/>
        <v>0</v>
      </c>
      <c r="K30" s="5">
        <f t="shared" si="16"/>
        <v>0</v>
      </c>
      <c r="M30" s="5" t="s">
        <v>70</v>
      </c>
      <c r="N30" s="5">
        <f t="shared" si="10"/>
        <v>403066.57320268935</v>
      </c>
      <c r="O30" s="5">
        <v>0.02</v>
      </c>
      <c r="P30" s="5">
        <f t="shared" si="8"/>
        <v>8061.3314640537874</v>
      </c>
      <c r="Q30" s="5">
        <f t="shared" si="9"/>
        <v>41112.790466674312</v>
      </c>
    </row>
    <row r="31" spans="1:17">
      <c r="A31" s="5" t="s">
        <v>152</v>
      </c>
      <c r="H31" s="5">
        <f t="shared" si="4"/>
        <v>0</v>
      </c>
      <c r="I31" s="5">
        <f t="shared" si="5"/>
        <v>0</v>
      </c>
      <c r="J31" s="5">
        <f t="shared" si="6"/>
        <v>0</v>
      </c>
      <c r="K31" s="5">
        <f t="shared" si="7"/>
        <v>0</v>
      </c>
      <c r="M31" s="5" t="s">
        <v>71</v>
      </c>
      <c r="N31" s="5">
        <f t="shared" si="10"/>
        <v>411127.90466674312</v>
      </c>
      <c r="O31" s="5">
        <v>0.02</v>
      </c>
      <c r="P31" s="5">
        <f t="shared" si="8"/>
        <v>8222.5580933348629</v>
      </c>
      <c r="Q31" s="5">
        <f t="shared" si="9"/>
        <v>41935.046276007801</v>
      </c>
    </row>
    <row r="32" spans="1:17">
      <c r="H32" s="5">
        <f t="shared" si="4"/>
        <v>0</v>
      </c>
      <c r="I32" s="5">
        <f t="shared" si="5"/>
        <v>0</v>
      </c>
      <c r="J32" s="5">
        <f t="shared" si="6"/>
        <v>0</v>
      </c>
      <c r="K32" s="5">
        <f t="shared" si="7"/>
        <v>0</v>
      </c>
      <c r="M32" s="5" t="s">
        <v>72</v>
      </c>
      <c r="N32" s="5">
        <f t="shared" si="10"/>
        <v>419350.46276007796</v>
      </c>
      <c r="O32" s="5">
        <v>0.02</v>
      </c>
      <c r="P32" s="5">
        <f t="shared" si="8"/>
        <v>8387.0092552015594</v>
      </c>
      <c r="Q32" s="5">
        <f t="shared" si="9"/>
        <v>42773.747201527956</v>
      </c>
    </row>
    <row r="33" spans="1:17">
      <c r="A33" s="5" t="s">
        <v>153</v>
      </c>
      <c r="H33" s="5">
        <f t="shared" si="4"/>
        <v>0</v>
      </c>
      <c r="I33" s="5">
        <f t="shared" si="5"/>
        <v>0</v>
      </c>
      <c r="J33" s="5">
        <f t="shared" si="6"/>
        <v>0</v>
      </c>
      <c r="K33" s="5">
        <f t="shared" si="7"/>
        <v>0</v>
      </c>
      <c r="M33" s="5" t="s">
        <v>73</v>
      </c>
      <c r="N33" s="5">
        <f t="shared" si="10"/>
        <v>427737.47201527952</v>
      </c>
      <c r="O33" s="5">
        <v>0.02</v>
      </c>
      <c r="P33" s="5">
        <f t="shared" si="8"/>
        <v>8554.7494403055898</v>
      </c>
      <c r="Q33" s="5">
        <f t="shared" si="9"/>
        <v>43629.22214555851</v>
      </c>
    </row>
    <row r="34" spans="1:17">
      <c r="H34" s="5">
        <f t="shared" si="4"/>
        <v>0</v>
      </c>
      <c r="I34" s="5">
        <f t="shared" si="5"/>
        <v>0</v>
      </c>
      <c r="J34" s="5">
        <f t="shared" si="6"/>
        <v>0</v>
      </c>
      <c r="K34" s="5">
        <f t="shared" si="7"/>
        <v>0</v>
      </c>
      <c r="M34" s="5" t="s">
        <v>74</v>
      </c>
      <c r="N34" s="5">
        <f t="shared" si="10"/>
        <v>436292.2214555851</v>
      </c>
      <c r="O34" s="5">
        <v>0.02</v>
      </c>
      <c r="P34" s="5">
        <f t="shared" si="8"/>
        <v>8725.8444291117012</v>
      </c>
      <c r="Q34" s="5">
        <f t="shared" si="9"/>
        <v>44501.806588469684</v>
      </c>
    </row>
    <row r="35" spans="1:17">
      <c r="A35" s="5" t="s">
        <v>154</v>
      </c>
      <c r="H35" s="5">
        <f t="shared" si="4"/>
        <v>0</v>
      </c>
      <c r="I35" s="5">
        <f t="shared" si="5"/>
        <v>0</v>
      </c>
      <c r="J35" s="5">
        <f t="shared" si="6"/>
        <v>0</v>
      </c>
      <c r="K35" s="5">
        <f t="shared" si="7"/>
        <v>0</v>
      </c>
      <c r="M35" s="5" t="s">
        <v>75</v>
      </c>
      <c r="N35" s="5">
        <f t="shared" si="10"/>
        <v>445018.06588469679</v>
      </c>
      <c r="O35" s="5">
        <v>0.02</v>
      </c>
      <c r="P35" s="5">
        <f t="shared" si="8"/>
        <v>8900.3613176939361</v>
      </c>
      <c r="Q35" s="5">
        <f t="shared" si="9"/>
        <v>45391.842720239074</v>
      </c>
    </row>
    <row r="36" spans="1:17">
      <c r="A36" s="5" t="s">
        <v>155</v>
      </c>
      <c r="H36" s="5">
        <f t="shared" si="4"/>
        <v>0</v>
      </c>
      <c r="I36" s="5">
        <f t="shared" si="5"/>
        <v>0</v>
      </c>
      <c r="J36" s="5">
        <f t="shared" si="6"/>
        <v>0</v>
      </c>
      <c r="K36" s="5">
        <f t="shared" si="7"/>
        <v>0</v>
      </c>
      <c r="M36" s="5" t="s">
        <v>76</v>
      </c>
      <c r="N36" s="5">
        <f t="shared" si="10"/>
        <v>453918.42720239074</v>
      </c>
      <c r="O36" s="5">
        <v>0.02</v>
      </c>
      <c r="P36" s="5">
        <f t="shared" si="8"/>
        <v>9078.3685440478148</v>
      </c>
      <c r="Q36" s="5">
        <f t="shared" si="9"/>
        <v>46299.679574643858</v>
      </c>
    </row>
    <row r="37" spans="1:17">
      <c r="H37" s="5">
        <f t="shared" si="4"/>
        <v>0</v>
      </c>
      <c r="I37" s="5">
        <f t="shared" si="5"/>
        <v>0</v>
      </c>
      <c r="J37" s="5">
        <f t="shared" si="6"/>
        <v>0</v>
      </c>
      <c r="K37" s="5">
        <f t="shared" si="7"/>
        <v>0</v>
      </c>
      <c r="M37" s="5" t="s">
        <v>77</v>
      </c>
      <c r="N37" s="5">
        <f t="shared" si="10"/>
        <v>462996.79574643855</v>
      </c>
      <c r="O37" s="5">
        <v>0.02</v>
      </c>
      <c r="P37" s="5">
        <f t="shared" si="8"/>
        <v>9259.935914928772</v>
      </c>
      <c r="Q37" s="5">
        <f t="shared" si="9"/>
        <v>47225.673166136738</v>
      </c>
    </row>
    <row r="38" spans="1:17">
      <c r="H38" s="5">
        <f t="shared" si="4"/>
        <v>0</v>
      </c>
      <c r="I38" s="5">
        <f t="shared" si="5"/>
        <v>0</v>
      </c>
      <c r="J38" s="5">
        <f t="shared" si="6"/>
        <v>0</v>
      </c>
      <c r="K38" s="5">
        <f t="shared" si="7"/>
        <v>0</v>
      </c>
      <c r="M38" s="5" t="s">
        <v>78</v>
      </c>
      <c r="N38" s="5">
        <f t="shared" ref="N38:N60" si="17">SUM(N37+P37)</f>
        <v>472256.73166136735</v>
      </c>
      <c r="O38" s="5">
        <v>0.02</v>
      </c>
      <c r="P38" s="5">
        <f t="shared" si="8"/>
        <v>9445.1346332273479</v>
      </c>
      <c r="Q38" s="5">
        <f t="shared" si="9"/>
        <v>48170.186629459473</v>
      </c>
    </row>
    <row r="39" spans="1:17">
      <c r="A39" s="5" t="s">
        <v>156</v>
      </c>
      <c r="H39" s="5">
        <f t="shared" si="4"/>
        <v>0</v>
      </c>
      <c r="I39" s="5">
        <f t="shared" si="5"/>
        <v>0</v>
      </c>
      <c r="J39" s="5">
        <f t="shared" si="6"/>
        <v>0</v>
      </c>
      <c r="K39" s="5">
        <f t="shared" si="7"/>
        <v>0</v>
      </c>
      <c r="M39" s="5" t="s">
        <v>157</v>
      </c>
      <c r="N39" s="5">
        <f t="shared" si="17"/>
        <v>481701.86629459471</v>
      </c>
      <c r="O39" s="5">
        <v>0.02</v>
      </c>
      <c r="P39" s="5">
        <f t="shared" si="8"/>
        <v>9634.0373258918953</v>
      </c>
      <c r="Q39" s="5">
        <f t="shared" si="9"/>
        <v>49133.590362048664</v>
      </c>
    </row>
    <row r="40" spans="1:17">
      <c r="H40" s="5">
        <f t="shared" si="4"/>
        <v>0</v>
      </c>
      <c r="I40" s="5">
        <f t="shared" si="5"/>
        <v>0</v>
      </c>
      <c r="J40" s="5">
        <f t="shared" si="6"/>
        <v>0</v>
      </c>
      <c r="K40" s="5">
        <f t="shared" si="7"/>
        <v>0</v>
      </c>
      <c r="M40" s="5" t="s">
        <v>158</v>
      </c>
      <c r="N40" s="5">
        <f t="shared" si="17"/>
        <v>491335.90362048661</v>
      </c>
      <c r="O40" s="5">
        <v>0.02</v>
      </c>
      <c r="P40" s="5">
        <f t="shared" si="8"/>
        <v>9826.7180724097325</v>
      </c>
      <c r="Q40" s="5">
        <f t="shared" si="9"/>
        <v>50116.262169289635</v>
      </c>
    </row>
    <row r="41" spans="1:17">
      <c r="H41" s="5">
        <f t="shared" si="4"/>
        <v>0</v>
      </c>
      <c r="I41" s="5">
        <f t="shared" si="5"/>
        <v>0</v>
      </c>
      <c r="J41" s="5">
        <f t="shared" si="6"/>
        <v>0</v>
      </c>
      <c r="K41" s="5">
        <f t="shared" si="7"/>
        <v>0</v>
      </c>
      <c r="M41" s="5" t="s">
        <v>159</v>
      </c>
      <c r="N41" s="5">
        <f t="shared" si="17"/>
        <v>501162.62169289635</v>
      </c>
      <c r="O41" s="5">
        <v>0.02</v>
      </c>
      <c r="P41" s="5">
        <f t="shared" si="8"/>
        <v>10023.252433857928</v>
      </c>
      <c r="Q41" s="5">
        <f t="shared" si="9"/>
        <v>51118.587412675435</v>
      </c>
    </row>
    <row r="42" spans="1:17">
      <c r="A42" s="5" t="s">
        <v>160</v>
      </c>
      <c r="B42" s="5" t="s">
        <v>161</v>
      </c>
      <c r="C42" s="5">
        <v>1</v>
      </c>
      <c r="D42" s="5">
        <v>4000</v>
      </c>
      <c r="E42" s="5">
        <v>0</v>
      </c>
      <c r="F42" s="5">
        <v>-150</v>
      </c>
      <c r="G42" s="5">
        <v>-10</v>
      </c>
      <c r="H42" s="5">
        <f t="shared" si="4"/>
        <v>4000</v>
      </c>
      <c r="I42" s="5">
        <f t="shared" si="5"/>
        <v>0</v>
      </c>
      <c r="J42" s="5">
        <f t="shared" si="6"/>
        <v>-150</v>
      </c>
      <c r="K42" s="5">
        <f t="shared" si="7"/>
        <v>-10</v>
      </c>
      <c r="M42" s="5" t="s">
        <v>162</v>
      </c>
      <c r="N42" s="5">
        <f t="shared" si="17"/>
        <v>511185.87412675429</v>
      </c>
      <c r="O42" s="5">
        <v>0.02</v>
      </c>
      <c r="P42" s="5">
        <f t="shared" si="8"/>
        <v>10223.717482535087</v>
      </c>
      <c r="Q42" s="5">
        <f t="shared" si="9"/>
        <v>52140.959160928942</v>
      </c>
    </row>
    <row r="43" spans="1:17">
      <c r="B43" s="5" t="s">
        <v>163</v>
      </c>
      <c r="C43" s="5">
        <v>1</v>
      </c>
      <c r="D43" s="5">
        <v>4000</v>
      </c>
      <c r="E43" s="5">
        <v>-200</v>
      </c>
      <c r="F43" s="5">
        <v>-150</v>
      </c>
      <c r="G43" s="5">
        <v>-10</v>
      </c>
      <c r="H43" s="5">
        <f t="shared" si="4"/>
        <v>4000</v>
      </c>
      <c r="I43" s="5">
        <f t="shared" si="5"/>
        <v>-200</v>
      </c>
      <c r="J43" s="5">
        <f t="shared" si="6"/>
        <v>-150</v>
      </c>
      <c r="K43" s="5">
        <f t="shared" si="7"/>
        <v>-10</v>
      </c>
      <c r="M43" s="5" t="s">
        <v>164</v>
      </c>
      <c r="N43" s="5">
        <f t="shared" si="17"/>
        <v>521409.5916092894</v>
      </c>
      <c r="O43" s="5">
        <v>0.02</v>
      </c>
      <c r="P43" s="5">
        <f t="shared" si="8"/>
        <v>10428.191832185788</v>
      </c>
      <c r="Q43" s="5">
        <f t="shared" si="9"/>
        <v>53183.778344147526</v>
      </c>
    </row>
    <row r="44" spans="1:17">
      <c r="H44" s="5">
        <f t="shared" si="4"/>
        <v>0</v>
      </c>
      <c r="I44" s="5">
        <f t="shared" si="5"/>
        <v>0</v>
      </c>
      <c r="J44" s="5">
        <f t="shared" si="6"/>
        <v>0</v>
      </c>
      <c r="K44" s="5">
        <f t="shared" si="7"/>
        <v>0</v>
      </c>
      <c r="M44" s="5" t="s">
        <v>165</v>
      </c>
      <c r="N44" s="5">
        <f t="shared" si="17"/>
        <v>531837.78344147524</v>
      </c>
      <c r="O44" s="5">
        <v>0.02</v>
      </c>
      <c r="P44" s="5">
        <f t="shared" si="8"/>
        <v>10636.755668829504</v>
      </c>
      <c r="Q44" s="5">
        <f t="shared" si="9"/>
        <v>54247.453911030483</v>
      </c>
    </row>
    <row r="45" spans="1:17">
      <c r="H45" s="5">
        <f t="shared" si="4"/>
        <v>0</v>
      </c>
      <c r="I45" s="5">
        <f t="shared" si="5"/>
        <v>0</v>
      </c>
      <c r="J45" s="5">
        <f t="shared" si="6"/>
        <v>0</v>
      </c>
      <c r="K45" s="5">
        <f t="shared" si="7"/>
        <v>0</v>
      </c>
      <c r="M45" s="5" t="s">
        <v>166</v>
      </c>
      <c r="N45" s="5">
        <f t="shared" si="17"/>
        <v>542474.53911030479</v>
      </c>
      <c r="O45" s="5">
        <v>0.02</v>
      </c>
      <c r="P45" s="5">
        <f t="shared" si="8"/>
        <v>10849.490782206096</v>
      </c>
      <c r="Q45" s="5">
        <f t="shared" si="9"/>
        <v>55332.402989251088</v>
      </c>
    </row>
    <row r="46" spans="1:17">
      <c r="H46" s="5">
        <f t="shared" si="4"/>
        <v>0</v>
      </c>
      <c r="I46" s="5">
        <f t="shared" si="5"/>
        <v>0</v>
      </c>
      <c r="J46" s="5">
        <f t="shared" si="6"/>
        <v>0</v>
      </c>
      <c r="K46" s="5">
        <f t="shared" si="7"/>
        <v>0</v>
      </c>
      <c r="M46" s="5" t="s">
        <v>167</v>
      </c>
      <c r="N46" s="5">
        <f t="shared" si="17"/>
        <v>553324.02989251085</v>
      </c>
      <c r="O46" s="5">
        <v>0.02</v>
      </c>
      <c r="P46" s="5">
        <f t="shared" si="8"/>
        <v>11066.480597850217</v>
      </c>
      <c r="Q46" s="5">
        <f t="shared" si="9"/>
        <v>56439.051049036105</v>
      </c>
    </row>
    <row r="47" spans="1:17">
      <c r="H47" s="5">
        <f t="shared" si="4"/>
        <v>0</v>
      </c>
      <c r="I47" s="5">
        <f t="shared" si="5"/>
        <v>0</v>
      </c>
      <c r="J47" s="5">
        <f t="shared" si="6"/>
        <v>0</v>
      </c>
      <c r="K47" s="5">
        <f t="shared" si="7"/>
        <v>0</v>
      </c>
      <c r="M47" s="5" t="s">
        <v>168</v>
      </c>
      <c r="N47" s="5">
        <f t="shared" si="17"/>
        <v>564390.51049036102</v>
      </c>
      <c r="O47" s="5">
        <v>0.02</v>
      </c>
      <c r="P47" s="5">
        <f t="shared" si="8"/>
        <v>11287.810209807221</v>
      </c>
      <c r="Q47" s="5">
        <f t="shared" si="9"/>
        <v>57567.832070016826</v>
      </c>
    </row>
    <row r="48" spans="1:17">
      <c r="H48" s="5">
        <f t="shared" si="4"/>
        <v>0</v>
      </c>
      <c r="I48" s="5">
        <f t="shared" si="5"/>
        <v>0</v>
      </c>
      <c r="J48" s="5">
        <f t="shared" si="6"/>
        <v>0</v>
      </c>
      <c r="K48" s="5">
        <f t="shared" si="7"/>
        <v>0</v>
      </c>
      <c r="M48" s="5" t="s">
        <v>169</v>
      </c>
      <c r="N48" s="5">
        <f t="shared" si="17"/>
        <v>575678.32070016826</v>
      </c>
      <c r="O48" s="5">
        <v>0.02</v>
      </c>
      <c r="P48" s="5">
        <f t="shared" si="8"/>
        <v>11513.566414003366</v>
      </c>
      <c r="Q48" s="5">
        <f t="shared" si="9"/>
        <v>58719.18871141717</v>
      </c>
    </row>
    <row r="49" spans="8:17">
      <c r="H49" s="5">
        <f t="shared" si="4"/>
        <v>0</v>
      </c>
      <c r="I49" s="5">
        <f t="shared" si="5"/>
        <v>0</v>
      </c>
      <c r="J49" s="5">
        <f t="shared" si="6"/>
        <v>0</v>
      </c>
      <c r="K49" s="5">
        <f t="shared" si="7"/>
        <v>0</v>
      </c>
      <c r="M49" s="5" t="s">
        <v>170</v>
      </c>
      <c r="N49" s="5">
        <f t="shared" si="17"/>
        <v>587191.88711417164</v>
      </c>
      <c r="O49" s="5">
        <v>0.02</v>
      </c>
      <c r="P49" s="5">
        <f t="shared" si="8"/>
        <v>11743.837742283433</v>
      </c>
      <c r="Q49" s="5">
        <f t="shared" si="9"/>
        <v>59893.572485645513</v>
      </c>
    </row>
    <row r="50" spans="8:17">
      <c r="H50" s="5">
        <f t="shared" si="4"/>
        <v>0</v>
      </c>
      <c r="I50" s="5">
        <f t="shared" si="5"/>
        <v>0</v>
      </c>
      <c r="J50" s="5">
        <f t="shared" si="6"/>
        <v>0</v>
      </c>
      <c r="K50" s="5">
        <f t="shared" si="7"/>
        <v>0</v>
      </c>
      <c r="M50" s="5" t="s">
        <v>171</v>
      </c>
      <c r="N50" s="5">
        <f t="shared" si="17"/>
        <v>598935.72485645511</v>
      </c>
      <c r="O50" s="5">
        <v>0.02</v>
      </c>
      <c r="P50" s="5">
        <f t="shared" si="8"/>
        <v>11978.714497129102</v>
      </c>
      <c r="Q50" s="5">
        <f t="shared" si="9"/>
        <v>61091.443935358424</v>
      </c>
    </row>
    <row r="51" spans="8:17">
      <c r="H51" s="5">
        <f t="shared" si="4"/>
        <v>0</v>
      </c>
      <c r="I51" s="5">
        <f t="shared" si="5"/>
        <v>0</v>
      </c>
      <c r="J51" s="5">
        <f t="shared" si="6"/>
        <v>0</v>
      </c>
      <c r="K51" s="5">
        <f t="shared" si="7"/>
        <v>0</v>
      </c>
      <c r="M51" s="5" t="s">
        <v>172</v>
      </c>
      <c r="N51" s="5">
        <f t="shared" si="17"/>
        <v>610914.4393535842</v>
      </c>
      <c r="O51" s="5">
        <v>0.02</v>
      </c>
      <c r="P51" s="5">
        <f t="shared" si="8"/>
        <v>12218.288787071684</v>
      </c>
      <c r="Q51" s="5">
        <f t="shared" si="9"/>
        <v>62313.272814065596</v>
      </c>
    </row>
    <row r="52" spans="8:17">
      <c r="H52" s="5">
        <f t="shared" si="4"/>
        <v>0</v>
      </c>
      <c r="I52" s="5">
        <f t="shared" si="5"/>
        <v>0</v>
      </c>
      <c r="J52" s="5">
        <f t="shared" si="6"/>
        <v>0</v>
      </c>
      <c r="K52" s="5">
        <f t="shared" si="7"/>
        <v>0</v>
      </c>
      <c r="M52" s="5" t="s">
        <v>173</v>
      </c>
      <c r="N52" s="5">
        <f t="shared" si="17"/>
        <v>623132.72814065591</v>
      </c>
      <c r="O52" s="5">
        <v>0.02</v>
      </c>
      <c r="P52" s="5">
        <f t="shared" si="8"/>
        <v>12462.654562813119</v>
      </c>
      <c r="Q52" s="5">
        <f t="shared" si="9"/>
        <v>63559.538270346908</v>
      </c>
    </row>
    <row r="53" spans="8:17">
      <c r="H53" s="5">
        <f t="shared" si="4"/>
        <v>0</v>
      </c>
      <c r="I53" s="5">
        <f t="shared" si="5"/>
        <v>0</v>
      </c>
      <c r="J53" s="5">
        <f t="shared" si="6"/>
        <v>0</v>
      </c>
      <c r="K53" s="5">
        <f t="shared" si="7"/>
        <v>0</v>
      </c>
      <c r="M53" s="5" t="s">
        <v>174</v>
      </c>
      <c r="N53" s="5">
        <f t="shared" si="17"/>
        <v>635595.38270346902</v>
      </c>
      <c r="O53" s="5">
        <v>0.02</v>
      </c>
      <c r="P53" s="5">
        <f t="shared" si="8"/>
        <v>12711.90765406938</v>
      </c>
      <c r="Q53" s="5">
        <f t="shared" si="9"/>
        <v>64830.729035753844</v>
      </c>
    </row>
    <row r="54" spans="8:17">
      <c r="H54" s="5">
        <f t="shared" si="4"/>
        <v>0</v>
      </c>
      <c r="I54" s="5">
        <f t="shared" si="5"/>
        <v>0</v>
      </c>
      <c r="J54" s="5">
        <f t="shared" si="6"/>
        <v>0</v>
      </c>
      <c r="K54" s="5">
        <f t="shared" si="7"/>
        <v>0</v>
      </c>
      <c r="M54" s="5" t="s">
        <v>175</v>
      </c>
      <c r="N54" s="5">
        <f t="shared" si="17"/>
        <v>648307.29035753838</v>
      </c>
      <c r="O54" s="5">
        <v>0.02</v>
      </c>
      <c r="P54" s="5">
        <f t="shared" si="8"/>
        <v>12966.145807150768</v>
      </c>
      <c r="Q54" s="5">
        <f t="shared" si="9"/>
        <v>66127.343616468919</v>
      </c>
    </row>
    <row r="55" spans="8:17">
      <c r="H55" s="5">
        <f t="shared" si="4"/>
        <v>0</v>
      </c>
      <c r="I55" s="5">
        <f t="shared" si="5"/>
        <v>0</v>
      </c>
      <c r="J55" s="5">
        <f t="shared" si="6"/>
        <v>0</v>
      </c>
      <c r="K55" s="5">
        <f t="shared" si="7"/>
        <v>0</v>
      </c>
      <c r="M55" s="5" t="s">
        <v>176</v>
      </c>
      <c r="N55" s="5">
        <f t="shared" si="17"/>
        <v>661273.43616468913</v>
      </c>
      <c r="O55" s="5">
        <v>0.02</v>
      </c>
      <c r="P55" s="5">
        <f t="shared" si="8"/>
        <v>13225.468723293783</v>
      </c>
      <c r="Q55" s="5">
        <f t="shared" si="9"/>
        <v>67449.890488798294</v>
      </c>
    </row>
    <row r="56" spans="8:17">
      <c r="H56" s="5">
        <f t="shared" si="4"/>
        <v>0</v>
      </c>
      <c r="I56" s="5">
        <f t="shared" si="5"/>
        <v>0</v>
      </c>
      <c r="J56" s="5">
        <f t="shared" si="6"/>
        <v>0</v>
      </c>
      <c r="K56" s="5">
        <f t="shared" si="7"/>
        <v>0</v>
      </c>
      <c r="M56" s="5" t="s">
        <v>177</v>
      </c>
      <c r="N56" s="5">
        <f t="shared" si="17"/>
        <v>674498.90488798288</v>
      </c>
      <c r="O56" s="5">
        <v>0.02</v>
      </c>
      <c r="P56" s="5">
        <f t="shared" si="8"/>
        <v>13489.978097759658</v>
      </c>
      <c r="Q56" s="5">
        <f t="shared" si="9"/>
        <v>68798.888298574253</v>
      </c>
    </row>
    <row r="57" spans="8:17">
      <c r="H57" s="5">
        <f t="shared" si="4"/>
        <v>0</v>
      </c>
      <c r="I57" s="5">
        <f t="shared" si="5"/>
        <v>0</v>
      </c>
      <c r="J57" s="5">
        <f t="shared" si="6"/>
        <v>0</v>
      </c>
      <c r="K57" s="5">
        <f t="shared" si="7"/>
        <v>0</v>
      </c>
      <c r="M57" s="5" t="s">
        <v>178</v>
      </c>
      <c r="N57" s="5">
        <f t="shared" si="17"/>
        <v>687988.88298574253</v>
      </c>
      <c r="O57" s="5">
        <v>0.02</v>
      </c>
      <c r="P57" s="5">
        <f t="shared" si="8"/>
        <v>13759.777659714851</v>
      </c>
      <c r="Q57" s="5">
        <f t="shared" si="9"/>
        <v>70174.866064545742</v>
      </c>
    </row>
    <row r="58" spans="8:17">
      <c r="H58" s="5">
        <f t="shared" si="4"/>
        <v>0</v>
      </c>
      <c r="I58" s="5">
        <f t="shared" si="5"/>
        <v>0</v>
      </c>
      <c r="J58" s="5">
        <f t="shared" si="6"/>
        <v>0</v>
      </c>
      <c r="K58" s="5">
        <f t="shared" si="7"/>
        <v>0</v>
      </c>
      <c r="M58" s="5" t="s">
        <v>179</v>
      </c>
      <c r="N58" s="5">
        <f t="shared" si="17"/>
        <v>701748.66064545733</v>
      </c>
      <c r="O58" s="5">
        <v>0.02</v>
      </c>
      <c r="P58" s="5">
        <f t="shared" si="8"/>
        <v>14034.973212909146</v>
      </c>
      <c r="Q58" s="5">
        <f t="shared" si="9"/>
        <v>71578.363385836652</v>
      </c>
    </row>
    <row r="59" spans="8:17">
      <c r="H59" s="5">
        <f t="shared" si="4"/>
        <v>0</v>
      </c>
      <c r="I59" s="5">
        <f t="shared" si="5"/>
        <v>0</v>
      </c>
      <c r="J59" s="5">
        <f t="shared" si="6"/>
        <v>0</v>
      </c>
      <c r="K59" s="5">
        <f t="shared" si="7"/>
        <v>0</v>
      </c>
      <c r="M59" s="5" t="s">
        <v>180</v>
      </c>
      <c r="N59" s="5">
        <f t="shared" si="17"/>
        <v>715783.63385836652</v>
      </c>
      <c r="O59" s="5">
        <v>0.02</v>
      </c>
      <c r="P59" s="5">
        <f t="shared" si="8"/>
        <v>14315.672677167331</v>
      </c>
      <c r="Q59" s="5">
        <f t="shared" si="9"/>
        <v>73009.930653553383</v>
      </c>
    </row>
    <row r="60" spans="8:17">
      <c r="H60" s="5">
        <f t="shared" si="4"/>
        <v>0</v>
      </c>
      <c r="I60" s="5">
        <f t="shared" si="5"/>
        <v>0</v>
      </c>
      <c r="J60" s="5">
        <f t="shared" si="6"/>
        <v>0</v>
      </c>
      <c r="K60" s="5">
        <f t="shared" si="7"/>
        <v>0</v>
      </c>
      <c r="M60" s="5" t="s">
        <v>181</v>
      </c>
      <c r="N60" s="5">
        <f t="shared" si="17"/>
        <v>730099.30653553386</v>
      </c>
      <c r="O60" s="5">
        <v>0.02</v>
      </c>
      <c r="P60" s="5">
        <f t="shared" si="8"/>
        <v>14601.986130710677</v>
      </c>
      <c r="Q60" s="5">
        <f t="shared" si="9"/>
        <v>74470.129266624455</v>
      </c>
    </row>
    <row r="61" spans="8:17">
      <c r="H61" s="5">
        <f t="shared" si="4"/>
        <v>0</v>
      </c>
      <c r="I61" s="5">
        <f t="shared" si="5"/>
        <v>0</v>
      </c>
      <c r="J61" s="5">
        <f t="shared" si="6"/>
        <v>0</v>
      </c>
      <c r="K61" s="5">
        <f t="shared" si="7"/>
        <v>0</v>
      </c>
    </row>
    <row r="62" spans="8:17">
      <c r="H62" s="5">
        <f t="shared" si="4"/>
        <v>0</v>
      </c>
      <c r="I62" s="5">
        <f t="shared" si="5"/>
        <v>0</v>
      </c>
      <c r="J62" s="5">
        <f t="shared" si="6"/>
        <v>0</v>
      </c>
      <c r="K62" s="5">
        <f t="shared" si="7"/>
        <v>0</v>
      </c>
    </row>
    <row r="63" spans="8:17">
      <c r="H63" s="5">
        <f t="shared" si="4"/>
        <v>0</v>
      </c>
      <c r="I63" s="5">
        <f t="shared" si="5"/>
        <v>0</v>
      </c>
      <c r="J63" s="5">
        <f t="shared" si="6"/>
        <v>0</v>
      </c>
      <c r="K63" s="5">
        <f t="shared" si="7"/>
        <v>0</v>
      </c>
    </row>
    <row r="64" spans="8:17">
      <c r="H64" s="5">
        <f t="shared" si="4"/>
        <v>0</v>
      </c>
      <c r="I64" s="5">
        <f t="shared" si="5"/>
        <v>0</v>
      </c>
      <c r="J64" s="5">
        <f t="shared" si="6"/>
        <v>0</v>
      </c>
      <c r="K64" s="5">
        <f t="shared" si="7"/>
        <v>0</v>
      </c>
    </row>
    <row r="73" spans="8:11">
      <c r="H73" s="5">
        <f>SUM(D69*$C69)</f>
        <v>0</v>
      </c>
      <c r="I73" s="5">
        <f>SUM(E69*$C69)</f>
        <v>0</v>
      </c>
      <c r="J73" s="5">
        <f>SUM(F69*$C69)</f>
        <v>0</v>
      </c>
      <c r="K73" s="5">
        <f>SUM(G69*$C69)</f>
        <v>0</v>
      </c>
    </row>
  </sheetData>
  <mergeCells count="3">
    <mergeCell ref="H2:K2"/>
    <mergeCell ref="N2:O2"/>
    <mergeCell ref="D2:G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6"/>
  <sheetViews>
    <sheetView tabSelected="1" workbookViewId="0">
      <pane ySplit="3" topLeftCell="B4" activePane="bottomLeft" state="frozen"/>
      <selection pane="bottomLeft" activeCell="C1" sqref="C1"/>
    </sheetView>
  </sheetViews>
  <sheetFormatPr defaultRowHeight="15"/>
  <cols>
    <col min="1" max="1" width="21.5703125" style="5" bestFit="1" customWidth="1"/>
    <col min="2" max="2" width="36.28515625" style="5" bestFit="1" customWidth="1"/>
    <col min="3" max="3" width="15.140625" style="5" customWidth="1"/>
    <col min="4" max="4" width="14.140625" style="5" bestFit="1" customWidth="1"/>
    <col min="5" max="5" width="10.140625" style="5" bestFit="1" customWidth="1"/>
    <col min="6" max="6" width="11.42578125" style="5" bestFit="1" customWidth="1"/>
    <col min="7" max="9" width="9.140625" style="5"/>
    <col min="10" max="10" width="24.7109375" style="5" bestFit="1" customWidth="1"/>
    <col min="11" max="11" width="13.85546875" style="5" customWidth="1"/>
    <col min="12" max="12" width="10.5703125" style="5" bestFit="1" customWidth="1"/>
    <col min="13" max="16384" width="9.140625" style="5"/>
  </cols>
  <sheetData>
    <row r="1" spans="1:15">
      <c r="B1" s="6" t="s">
        <v>182</v>
      </c>
      <c r="C1" s="5" cm="1">
        <f t="array" aca="1" ref="C1" ca="1">C4:C200</f>
        <v>0</v>
      </c>
    </row>
    <row r="2" spans="1:15">
      <c r="C2" s="66" t="s">
        <v>183</v>
      </c>
      <c r="D2" s="66"/>
      <c r="E2" s="66"/>
      <c r="F2" s="66"/>
      <c r="K2" s="5" t="s">
        <v>184</v>
      </c>
      <c r="L2" s="5" t="s">
        <v>185</v>
      </c>
      <c r="M2" s="5" t="s">
        <v>186</v>
      </c>
    </row>
    <row r="3" spans="1:15">
      <c r="A3" s="6" t="s">
        <v>5</v>
      </c>
      <c r="B3" s="6" t="s">
        <v>118</v>
      </c>
      <c r="C3" s="6" t="s">
        <v>119</v>
      </c>
      <c r="D3" s="6" t="s">
        <v>120</v>
      </c>
      <c r="E3" s="6" t="s">
        <v>121</v>
      </c>
      <c r="F3" s="6" t="s">
        <v>122</v>
      </c>
      <c r="K3" s="5">
        <v>1</v>
      </c>
      <c r="L3" s="5">
        <v>1</v>
      </c>
      <c r="M3" s="5">
        <v>1</v>
      </c>
    </row>
    <row r="4" spans="1:15">
      <c r="A4" s="6" t="s">
        <v>187</v>
      </c>
      <c r="B4" s="6"/>
      <c r="C4" s="6">
        <v>25000000</v>
      </c>
      <c r="D4" s="6">
        <v>250000</v>
      </c>
      <c r="E4" s="6">
        <v>250000</v>
      </c>
      <c r="F4" s="6">
        <v>50000</v>
      </c>
      <c r="G4" s="5" t="b">
        <f>ISNUMBER(C4)</f>
        <v>1</v>
      </c>
      <c r="H4" s="5" t="b">
        <f t="shared" ref="H4:J4" si="0">ISNUMBER(D4)</f>
        <v>1</v>
      </c>
      <c r="I4" s="5" t="b">
        <f t="shared" si="0"/>
        <v>1</v>
      </c>
      <c r="J4" s="5" t="b">
        <f t="shared" si="0"/>
        <v>1</v>
      </c>
    </row>
    <row r="5" spans="1:15" ht="30.75">
      <c r="A5" s="5" t="s">
        <v>188</v>
      </c>
      <c r="B5" s="5" t="s">
        <v>53</v>
      </c>
      <c r="C5" s="5">
        <v>25500</v>
      </c>
      <c r="D5" s="5">
        <v>2000</v>
      </c>
      <c r="E5" s="5">
        <v>5000</v>
      </c>
      <c r="F5" s="5">
        <v>550</v>
      </c>
      <c r="G5" s="5" t="b">
        <f t="shared" ref="G5:G68" si="1">ISNUMBER(C5)</f>
        <v>1</v>
      </c>
      <c r="H5" s="5" t="b">
        <f t="shared" ref="H5:H68" si="2">ISNUMBER(D5)</f>
        <v>1</v>
      </c>
      <c r="I5" s="5" t="b">
        <f t="shared" ref="I5:I68" si="3">ISNUMBER(E5)</f>
        <v>1</v>
      </c>
      <c r="J5" s="5" t="b">
        <f t="shared" ref="J5:J68" si="4">ISNUMBER(F5)</f>
        <v>1</v>
      </c>
      <c r="K5" s="44" t="s">
        <v>189</v>
      </c>
      <c r="L5" s="45" t="s">
        <v>190</v>
      </c>
      <c r="M5" s="45" t="s">
        <v>191</v>
      </c>
      <c r="N5" s="45" t="s">
        <v>192</v>
      </c>
      <c r="O5" s="46" t="s">
        <v>193</v>
      </c>
    </row>
    <row r="6" spans="1:15">
      <c r="A6" s="5" t="s">
        <v>184</v>
      </c>
      <c r="B6" s="5" t="s">
        <v>194</v>
      </c>
      <c r="C6" s="5">
        <v>-50000</v>
      </c>
      <c r="D6" s="5">
        <v>-1500</v>
      </c>
      <c r="E6" s="5">
        <v>-1000</v>
      </c>
      <c r="F6" s="5">
        <v>-500</v>
      </c>
      <c r="G6" s="5" t="b">
        <f t="shared" si="1"/>
        <v>1</v>
      </c>
      <c r="H6" s="5" t="b">
        <f t="shared" si="2"/>
        <v>1</v>
      </c>
      <c r="I6" s="5" t="b">
        <f t="shared" si="3"/>
        <v>1</v>
      </c>
      <c r="J6" s="5" t="b">
        <f t="shared" si="4"/>
        <v>1</v>
      </c>
      <c r="K6" s="39" t="s">
        <v>195</v>
      </c>
      <c r="L6" s="38">
        <v>-500</v>
      </c>
      <c r="M6" s="38">
        <v>-10</v>
      </c>
      <c r="N6" s="38">
        <v>-100</v>
      </c>
      <c r="O6" s="40">
        <v>-100</v>
      </c>
    </row>
    <row r="7" spans="1:15">
      <c r="A7" s="5" t="s">
        <v>186</v>
      </c>
      <c r="B7" s="5" t="s">
        <v>144</v>
      </c>
      <c r="C7" s="5">
        <v>-18000</v>
      </c>
      <c r="D7" s="5">
        <v>-900</v>
      </c>
      <c r="E7" s="5">
        <v>-900</v>
      </c>
      <c r="F7" s="5">
        <v>-450</v>
      </c>
      <c r="G7" s="5" t="b">
        <f t="shared" si="1"/>
        <v>1</v>
      </c>
      <c r="H7" s="5" t="b">
        <f t="shared" si="2"/>
        <v>1</v>
      </c>
      <c r="I7" s="5" t="b">
        <f t="shared" si="3"/>
        <v>1</v>
      </c>
      <c r="J7" s="5" t="b">
        <f t="shared" si="4"/>
        <v>1</v>
      </c>
      <c r="K7" s="39" t="s">
        <v>196</v>
      </c>
      <c r="L7" s="38">
        <v>-1000</v>
      </c>
      <c r="M7" s="38">
        <v>-20</v>
      </c>
      <c r="N7" s="38">
        <v>-200</v>
      </c>
      <c r="O7" s="40">
        <v>-200</v>
      </c>
    </row>
    <row r="8" spans="1:15">
      <c r="A8" s="5" t="s">
        <v>188</v>
      </c>
      <c r="B8" s="5" t="s">
        <v>54</v>
      </c>
      <c r="C8" s="5">
        <v>26342.928000000004</v>
      </c>
      <c r="D8" s="5">
        <v>2000</v>
      </c>
      <c r="E8" s="5">
        <v>5000</v>
      </c>
      <c r="F8" s="5">
        <v>550</v>
      </c>
      <c r="G8" s="5" t="b">
        <f t="shared" si="1"/>
        <v>1</v>
      </c>
      <c r="H8" s="5" t="b">
        <f t="shared" si="2"/>
        <v>1</v>
      </c>
      <c r="I8" s="5" t="b">
        <f t="shared" si="3"/>
        <v>1</v>
      </c>
      <c r="J8" s="5" t="b">
        <f t="shared" si="4"/>
        <v>1</v>
      </c>
      <c r="K8" s="39" t="s">
        <v>197</v>
      </c>
      <c r="L8" s="38">
        <v>-1000</v>
      </c>
      <c r="M8" s="38">
        <v>-20</v>
      </c>
      <c r="N8" s="38">
        <v>-200</v>
      </c>
      <c r="O8" s="40">
        <v>-200</v>
      </c>
    </row>
    <row r="9" spans="1:15">
      <c r="A9" s="5" t="s">
        <v>184</v>
      </c>
      <c r="B9" s="5" t="s">
        <v>198</v>
      </c>
      <c r="C9" s="5">
        <v>-10000</v>
      </c>
      <c r="D9" s="5">
        <v>-100</v>
      </c>
      <c r="E9" s="5">
        <v>-100</v>
      </c>
      <c r="F9" s="5">
        <v>-100</v>
      </c>
      <c r="G9" s="5" t="b">
        <f t="shared" si="1"/>
        <v>1</v>
      </c>
      <c r="H9" s="5" t="b">
        <f t="shared" si="2"/>
        <v>1</v>
      </c>
      <c r="I9" s="5" t="b">
        <f t="shared" si="3"/>
        <v>1</v>
      </c>
      <c r="J9" s="5" t="b">
        <f t="shared" si="4"/>
        <v>1</v>
      </c>
      <c r="K9" s="39" t="s">
        <v>199</v>
      </c>
      <c r="L9" s="38">
        <v>-5000</v>
      </c>
      <c r="M9" s="38">
        <v>-100</v>
      </c>
      <c r="N9" s="38">
        <v>-1000</v>
      </c>
      <c r="O9" s="40">
        <v>-1000</v>
      </c>
    </row>
    <row r="10" spans="1:15">
      <c r="A10" s="5" t="s">
        <v>186</v>
      </c>
      <c r="B10" s="5" t="s">
        <v>144</v>
      </c>
      <c r="C10" s="5">
        <v>-18000</v>
      </c>
      <c r="D10" s="5">
        <v>-900</v>
      </c>
      <c r="E10" s="5">
        <v>-900</v>
      </c>
      <c r="F10" s="5">
        <v>-450</v>
      </c>
      <c r="G10" s="5" t="b">
        <f t="shared" si="1"/>
        <v>1</v>
      </c>
      <c r="H10" s="5" t="b">
        <f t="shared" si="2"/>
        <v>1</v>
      </c>
      <c r="I10" s="5" t="b">
        <f t="shared" si="3"/>
        <v>1</v>
      </c>
      <c r="J10" s="5" t="b">
        <f t="shared" si="4"/>
        <v>1</v>
      </c>
      <c r="K10" s="39" t="s">
        <v>200</v>
      </c>
      <c r="L10" s="38">
        <v>-10000</v>
      </c>
      <c r="M10" s="38">
        <v>-200</v>
      </c>
      <c r="N10" s="38">
        <v>-2000</v>
      </c>
      <c r="O10" s="40">
        <v>-2000</v>
      </c>
    </row>
    <row r="11" spans="1:15">
      <c r="A11" s="5" t="s">
        <v>188</v>
      </c>
      <c r="B11" s="5" t="s">
        <v>55</v>
      </c>
      <c r="C11" s="5">
        <f ca="1">SUM(#REF!*$C11)</f>
        <v>29073</v>
      </c>
      <c r="D11" s="5">
        <f t="shared" ref="D11" ca="1" si="5">SUM(#REF!*$C11)</f>
        <v>2000</v>
      </c>
      <c r="E11" s="5">
        <f ca="1">SUM(A11*$C11)</f>
        <v>5000</v>
      </c>
      <c r="F11" s="5">
        <f ca="1">SUM(B11*$C11)</f>
        <v>550</v>
      </c>
      <c r="G11" s="5" t="b">
        <f t="shared" ca="1" si="1"/>
        <v>1</v>
      </c>
      <c r="H11" s="5" t="b">
        <f t="shared" ca="1" si="2"/>
        <v>1</v>
      </c>
      <c r="I11" s="5" t="b">
        <f t="shared" ca="1" si="3"/>
        <v>1</v>
      </c>
      <c r="J11" s="5" t="b">
        <f t="shared" ca="1" si="4"/>
        <v>1</v>
      </c>
      <c r="K11" s="41" t="s">
        <v>201</v>
      </c>
      <c r="L11" s="42">
        <v>-100000</v>
      </c>
      <c r="M11" s="42">
        <v>-20000</v>
      </c>
      <c r="N11" s="42">
        <v>-20000</v>
      </c>
      <c r="O11" s="43">
        <v>-20000</v>
      </c>
    </row>
    <row r="12" spans="1:15">
      <c r="A12" s="5" t="s">
        <v>184</v>
      </c>
      <c r="B12" s="3" t="s">
        <v>202</v>
      </c>
      <c r="C12" s="63">
        <v>-5000</v>
      </c>
      <c r="D12" s="63">
        <v>-100</v>
      </c>
      <c r="E12" s="63">
        <v>-100</v>
      </c>
      <c r="F12" s="63">
        <v>-100</v>
      </c>
      <c r="G12" s="5" t="b">
        <f t="shared" si="1"/>
        <v>1</v>
      </c>
      <c r="H12" s="5" t="b">
        <f t="shared" si="2"/>
        <v>1</v>
      </c>
      <c r="I12" s="5" t="b">
        <f t="shared" si="3"/>
        <v>1</v>
      </c>
      <c r="J12" s="5" t="b">
        <f t="shared" si="4"/>
        <v>1</v>
      </c>
    </row>
    <row r="13" spans="1:15">
      <c r="A13" s="5" t="s">
        <v>186</v>
      </c>
      <c r="B13" s="3" t="s">
        <v>144</v>
      </c>
      <c r="C13" s="5">
        <v>-18000</v>
      </c>
      <c r="D13" s="5">
        <v>-900</v>
      </c>
      <c r="E13" s="5">
        <v>-900</v>
      </c>
      <c r="F13" s="5">
        <v>-450</v>
      </c>
      <c r="G13" s="5" t="b">
        <f t="shared" si="1"/>
        <v>1</v>
      </c>
      <c r="H13" s="5" t="b">
        <f t="shared" si="2"/>
        <v>1</v>
      </c>
      <c r="I13" s="5" t="b">
        <f t="shared" si="3"/>
        <v>1</v>
      </c>
      <c r="J13" s="5" t="b">
        <f t="shared" si="4"/>
        <v>1</v>
      </c>
    </row>
    <row r="14" spans="1:15">
      <c r="A14" s="5" t="s">
        <v>188</v>
      </c>
      <c r="B14" s="5" t="s">
        <v>203</v>
      </c>
      <c r="C14" s="5">
        <v>28438.968000000001</v>
      </c>
      <c r="D14" s="5">
        <v>1730</v>
      </c>
      <c r="E14" s="5">
        <v>4460</v>
      </c>
      <c r="F14" s="5">
        <v>415</v>
      </c>
      <c r="G14" s="5" t="b">
        <f t="shared" si="1"/>
        <v>1</v>
      </c>
      <c r="H14" s="5" t="b">
        <f t="shared" si="2"/>
        <v>1</v>
      </c>
      <c r="I14" s="5" t="b">
        <f t="shared" si="3"/>
        <v>1</v>
      </c>
      <c r="J14" s="5" t="b">
        <f t="shared" si="4"/>
        <v>1</v>
      </c>
    </row>
    <row r="15" spans="1:15">
      <c r="A15" s="5" t="s">
        <v>184</v>
      </c>
      <c r="B15" s="5" t="s">
        <v>204</v>
      </c>
      <c r="C15" s="5">
        <v>-25000</v>
      </c>
      <c r="D15" s="5">
        <v>-900</v>
      </c>
      <c r="E15" s="5">
        <v>-300</v>
      </c>
      <c r="F15" s="5">
        <v>-300</v>
      </c>
      <c r="G15" s="5" t="b">
        <f t="shared" si="1"/>
        <v>1</v>
      </c>
      <c r="H15" s="5" t="b">
        <f t="shared" si="2"/>
        <v>1</v>
      </c>
      <c r="I15" s="5" t="b">
        <f t="shared" si="3"/>
        <v>1</v>
      </c>
      <c r="J15" s="5" t="b">
        <f t="shared" si="4"/>
        <v>1</v>
      </c>
    </row>
    <row r="16" spans="1:15">
      <c r="A16" s="5" t="s">
        <v>186</v>
      </c>
      <c r="B16" s="5" t="s">
        <v>144</v>
      </c>
      <c r="C16" s="5">
        <v>-18000</v>
      </c>
      <c r="D16" s="5">
        <v>-900</v>
      </c>
      <c r="E16" s="5">
        <v>-900</v>
      </c>
      <c r="F16" s="5">
        <v>-450</v>
      </c>
      <c r="G16" s="5" t="b">
        <f t="shared" si="1"/>
        <v>1</v>
      </c>
      <c r="H16" s="5" t="b">
        <f t="shared" si="2"/>
        <v>1</v>
      </c>
      <c r="I16" s="5" t="b">
        <f t="shared" si="3"/>
        <v>1</v>
      </c>
      <c r="J16" s="5" t="b">
        <f t="shared" si="4"/>
        <v>1</v>
      </c>
    </row>
    <row r="17" spans="1:10">
      <c r="A17" s="5" t="s">
        <v>205</v>
      </c>
      <c r="B17" s="5" t="s">
        <v>206</v>
      </c>
      <c r="C17" s="5">
        <v>41662</v>
      </c>
      <c r="D17" s="5">
        <v>1140</v>
      </c>
      <c r="E17" s="5">
        <v>3980</v>
      </c>
      <c r="F17" s="5">
        <v>844</v>
      </c>
      <c r="G17" s="5" t="b">
        <f t="shared" si="1"/>
        <v>1</v>
      </c>
      <c r="H17" s="5" t="b">
        <f t="shared" si="2"/>
        <v>1</v>
      </c>
      <c r="I17" s="5" t="b">
        <f t="shared" si="3"/>
        <v>1</v>
      </c>
      <c r="J17" s="5" t="b">
        <f t="shared" si="4"/>
        <v>1</v>
      </c>
    </row>
    <row r="18" spans="1:10">
      <c r="A18" s="5" t="s">
        <v>184</v>
      </c>
      <c r="B18" s="5" t="s">
        <v>207</v>
      </c>
      <c r="C18" s="5">
        <v>-25000</v>
      </c>
      <c r="D18" s="5">
        <v>-2000</v>
      </c>
      <c r="E18" s="5">
        <v>-3000</v>
      </c>
      <c r="F18" s="5">
        <v>-1000</v>
      </c>
      <c r="G18" s="5" t="b">
        <f t="shared" si="1"/>
        <v>1</v>
      </c>
      <c r="H18" s="5" t="b">
        <f t="shared" si="2"/>
        <v>1</v>
      </c>
      <c r="I18" s="5" t="b">
        <f t="shared" si="3"/>
        <v>1</v>
      </c>
      <c r="J18" s="5" t="b">
        <f t="shared" si="4"/>
        <v>1</v>
      </c>
    </row>
    <row r="19" spans="1:10">
      <c r="A19" s="5" t="s">
        <v>186</v>
      </c>
      <c r="B19" s="5" t="s">
        <v>204</v>
      </c>
      <c r="C19" s="5">
        <v>-10000</v>
      </c>
      <c r="D19" s="5">
        <v>-400</v>
      </c>
      <c r="E19" s="5">
        <v>-200</v>
      </c>
      <c r="F19" s="5">
        <v>-100</v>
      </c>
      <c r="G19" s="5" t="b">
        <f t="shared" si="1"/>
        <v>1</v>
      </c>
      <c r="H19" s="5" t="b">
        <f t="shared" si="2"/>
        <v>1</v>
      </c>
      <c r="I19" s="5" t="b">
        <f t="shared" si="3"/>
        <v>1</v>
      </c>
      <c r="J19" s="5" t="b">
        <f t="shared" si="4"/>
        <v>1</v>
      </c>
    </row>
    <row r="20" spans="1:10">
      <c r="A20" s="5" t="s">
        <v>205</v>
      </c>
      <c r="B20" s="5" t="s">
        <v>58</v>
      </c>
      <c r="C20" s="5">
        <v>44817.154712091273</v>
      </c>
      <c r="D20" s="5">
        <v>940</v>
      </c>
      <c r="E20" s="5">
        <v>4180</v>
      </c>
      <c r="F20" s="5">
        <v>944</v>
      </c>
      <c r="G20" s="5" t="b">
        <f t="shared" si="1"/>
        <v>1</v>
      </c>
      <c r="H20" s="5" t="b">
        <f t="shared" si="2"/>
        <v>1</v>
      </c>
      <c r="I20" s="5" t="b">
        <f t="shared" si="3"/>
        <v>1</v>
      </c>
      <c r="J20" s="5" t="b">
        <f t="shared" si="4"/>
        <v>1</v>
      </c>
    </row>
    <row r="21" spans="1:10">
      <c r="A21" s="5" t="s">
        <v>208</v>
      </c>
      <c r="B21" s="5" t="s">
        <v>128</v>
      </c>
      <c r="C21" s="5">
        <v>-55000</v>
      </c>
      <c r="D21" s="5">
        <v>-3500</v>
      </c>
      <c r="E21" s="5">
        <v>-3500</v>
      </c>
      <c r="F21" s="5">
        <v>-1600</v>
      </c>
      <c r="G21" s="5" t="b">
        <f t="shared" si="1"/>
        <v>1</v>
      </c>
      <c r="H21" s="5" t="b">
        <f t="shared" si="2"/>
        <v>1</v>
      </c>
      <c r="I21" s="5" t="b">
        <f t="shared" si="3"/>
        <v>1</v>
      </c>
      <c r="J21" s="5" t="b">
        <f t="shared" si="4"/>
        <v>1</v>
      </c>
    </row>
    <row r="22" spans="1:10">
      <c r="A22" s="5" t="s">
        <v>186</v>
      </c>
      <c r="B22" s="5" t="s">
        <v>204</v>
      </c>
      <c r="C22" s="5">
        <v>-10000</v>
      </c>
      <c r="D22" s="5">
        <v>-400</v>
      </c>
      <c r="E22" s="5">
        <v>-200</v>
      </c>
      <c r="F22" s="5">
        <v>-100</v>
      </c>
      <c r="G22" s="5" t="b">
        <f t="shared" si="1"/>
        <v>1</v>
      </c>
      <c r="H22" s="5" t="b">
        <f t="shared" si="2"/>
        <v>1</v>
      </c>
      <c r="I22" s="5" t="b">
        <f t="shared" si="3"/>
        <v>1</v>
      </c>
      <c r="J22" s="5" t="b">
        <f t="shared" si="4"/>
        <v>1</v>
      </c>
    </row>
    <row r="23" spans="1:10">
      <c r="B23" s="5" t="s">
        <v>209</v>
      </c>
      <c r="C23" s="5">
        <v>0</v>
      </c>
      <c r="D23" s="5">
        <v>-100</v>
      </c>
      <c r="E23" s="5">
        <v>-100</v>
      </c>
      <c r="F23" s="5">
        <v>-200</v>
      </c>
      <c r="G23" s="5" t="b">
        <f t="shared" si="1"/>
        <v>1</v>
      </c>
      <c r="H23" s="5" t="b">
        <f t="shared" si="2"/>
        <v>1</v>
      </c>
      <c r="I23" s="5" t="b">
        <f t="shared" si="3"/>
        <v>1</v>
      </c>
      <c r="J23" s="5" t="b">
        <f t="shared" si="4"/>
        <v>1</v>
      </c>
    </row>
    <row r="24" spans="1:10">
      <c r="A24" s="5" t="s">
        <v>205</v>
      </c>
      <c r="B24" s="5" t="s">
        <v>59</v>
      </c>
      <c r="C24" s="5">
        <v>45465.4978063331</v>
      </c>
      <c r="D24" s="5">
        <v>440</v>
      </c>
      <c r="E24" s="5">
        <v>3780</v>
      </c>
      <c r="F24" s="5">
        <v>1144</v>
      </c>
      <c r="G24" s="5" t="b">
        <f t="shared" si="1"/>
        <v>1</v>
      </c>
      <c r="H24" s="5" t="b">
        <f t="shared" si="2"/>
        <v>1</v>
      </c>
      <c r="I24" s="5" t="b">
        <f t="shared" si="3"/>
        <v>1</v>
      </c>
      <c r="J24" s="5" t="b">
        <f t="shared" si="4"/>
        <v>1</v>
      </c>
    </row>
    <row r="25" spans="1:10">
      <c r="A25" s="5" t="s">
        <v>208</v>
      </c>
      <c r="B25" s="5" t="s">
        <v>210</v>
      </c>
      <c r="C25" s="5">
        <v>-10000</v>
      </c>
      <c r="D25" s="5">
        <v>-3000</v>
      </c>
      <c r="E25" s="5">
        <v>-3000</v>
      </c>
      <c r="F25" s="5">
        <v>-1000</v>
      </c>
      <c r="G25" s="5" t="b">
        <f t="shared" si="1"/>
        <v>1</v>
      </c>
      <c r="H25" s="5" t="b">
        <f t="shared" si="2"/>
        <v>1</v>
      </c>
      <c r="I25" s="5" t="b">
        <f t="shared" si="3"/>
        <v>1</v>
      </c>
      <c r="J25" s="5" t="b">
        <f t="shared" si="4"/>
        <v>1</v>
      </c>
    </row>
    <row r="26" spans="1:10">
      <c r="A26" s="5" t="s">
        <v>211</v>
      </c>
      <c r="B26" s="5" t="s">
        <v>212</v>
      </c>
      <c r="C26" s="37">
        <v>-20000</v>
      </c>
      <c r="D26" s="37">
        <v>-200</v>
      </c>
      <c r="E26" s="37">
        <v>-200</v>
      </c>
      <c r="F26" s="37">
        <v>-100</v>
      </c>
      <c r="G26" s="5" t="b">
        <f t="shared" si="1"/>
        <v>1</v>
      </c>
      <c r="H26" s="5" t="b">
        <f t="shared" si="2"/>
        <v>1</v>
      </c>
      <c r="I26" s="5" t="b">
        <f t="shared" si="3"/>
        <v>1</v>
      </c>
      <c r="J26" s="5" t="b">
        <f t="shared" si="4"/>
        <v>1</v>
      </c>
    </row>
    <row r="27" spans="1:10">
      <c r="A27" s="5" t="s">
        <v>186</v>
      </c>
      <c r="B27" s="5" t="s">
        <v>144</v>
      </c>
      <c r="C27" s="5">
        <v>-18000</v>
      </c>
      <c r="D27" s="5">
        <v>-900</v>
      </c>
      <c r="E27" s="5">
        <v>-900</v>
      </c>
      <c r="F27" s="5">
        <v>-450</v>
      </c>
      <c r="G27" s="5" t="b">
        <f t="shared" si="1"/>
        <v>1</v>
      </c>
      <c r="H27" s="5" t="b">
        <f t="shared" si="2"/>
        <v>1</v>
      </c>
      <c r="I27" s="5" t="b">
        <f t="shared" si="3"/>
        <v>1</v>
      </c>
      <c r="J27" s="5" t="b">
        <f t="shared" si="4"/>
        <v>1</v>
      </c>
    </row>
    <row r="28" spans="1:10">
      <c r="A28" s="5" t="s">
        <v>205</v>
      </c>
      <c r="C28" s="5">
        <v>0</v>
      </c>
      <c r="D28" s="5">
        <v>0</v>
      </c>
      <c r="E28" s="5">
        <v>0</v>
      </c>
      <c r="F28" s="5">
        <v>0</v>
      </c>
      <c r="G28" s="5" t="b">
        <f t="shared" si="1"/>
        <v>1</v>
      </c>
      <c r="H28" s="5" t="b">
        <f t="shared" si="2"/>
        <v>1</v>
      </c>
      <c r="I28" s="5" t="b">
        <f t="shared" si="3"/>
        <v>1</v>
      </c>
      <c r="J28" s="5" t="b">
        <f t="shared" si="4"/>
        <v>1</v>
      </c>
    </row>
    <row r="29" spans="1:10">
      <c r="A29" s="5" t="s">
        <v>208</v>
      </c>
      <c r="C29" s="5">
        <v>0</v>
      </c>
      <c r="D29" s="5">
        <v>0</v>
      </c>
      <c r="E29" s="5">
        <v>0</v>
      </c>
      <c r="F29" s="5">
        <v>0</v>
      </c>
      <c r="G29" s="5" t="b">
        <f t="shared" si="1"/>
        <v>1</v>
      </c>
      <c r="H29" s="5" t="b">
        <f t="shared" si="2"/>
        <v>1</v>
      </c>
      <c r="I29" s="5" t="b">
        <f t="shared" si="3"/>
        <v>1</v>
      </c>
      <c r="J29" s="5" t="b">
        <f t="shared" si="4"/>
        <v>1</v>
      </c>
    </row>
    <row r="30" spans="1:10">
      <c r="A30" s="5" t="s">
        <v>211</v>
      </c>
      <c r="C30" s="5">
        <v>0</v>
      </c>
      <c r="D30" s="5">
        <v>0</v>
      </c>
      <c r="E30" s="5">
        <v>0</v>
      </c>
      <c r="F30" s="5">
        <v>0</v>
      </c>
      <c r="G30" s="5" t="b">
        <f t="shared" si="1"/>
        <v>1</v>
      </c>
      <c r="H30" s="5" t="b">
        <f t="shared" si="2"/>
        <v>1</v>
      </c>
      <c r="I30" s="5" t="b">
        <f t="shared" si="3"/>
        <v>1</v>
      </c>
      <c r="J30" s="5" t="b">
        <f t="shared" si="4"/>
        <v>1</v>
      </c>
    </row>
    <row r="31" spans="1:10">
      <c r="A31" s="5" t="s">
        <v>213</v>
      </c>
      <c r="C31" s="5">
        <v>0</v>
      </c>
      <c r="D31" s="5">
        <v>0</v>
      </c>
      <c r="E31" s="5">
        <v>0</v>
      </c>
      <c r="F31" s="5">
        <v>0</v>
      </c>
      <c r="G31" s="5" t="b">
        <f t="shared" si="1"/>
        <v>1</v>
      </c>
      <c r="H31" s="5" t="b">
        <f t="shared" si="2"/>
        <v>1</v>
      </c>
      <c r="I31" s="5" t="b">
        <f t="shared" si="3"/>
        <v>1</v>
      </c>
      <c r="J31" s="5" t="b">
        <f t="shared" si="4"/>
        <v>1</v>
      </c>
    </row>
    <row r="32" spans="1:10">
      <c r="A32" s="5" t="s">
        <v>214</v>
      </c>
      <c r="C32" s="5">
        <v>0</v>
      </c>
      <c r="D32" s="5">
        <v>0</v>
      </c>
      <c r="E32" s="5">
        <v>0</v>
      </c>
      <c r="F32" s="5">
        <v>0</v>
      </c>
      <c r="G32" s="5" t="b">
        <f t="shared" si="1"/>
        <v>1</v>
      </c>
      <c r="H32" s="5" t="b">
        <f t="shared" si="2"/>
        <v>1</v>
      </c>
      <c r="I32" s="5" t="b">
        <f t="shared" si="3"/>
        <v>1</v>
      </c>
      <c r="J32" s="5" t="b">
        <f t="shared" si="4"/>
        <v>1</v>
      </c>
    </row>
    <row r="33" spans="1:10">
      <c r="A33" s="5" t="s">
        <v>186</v>
      </c>
      <c r="C33" s="5">
        <v>0</v>
      </c>
      <c r="D33" s="5">
        <v>0</v>
      </c>
      <c r="E33" s="5">
        <v>0</v>
      </c>
      <c r="F33" s="5">
        <v>0</v>
      </c>
      <c r="G33" s="5" t="b">
        <f t="shared" si="1"/>
        <v>1</v>
      </c>
      <c r="H33" s="5" t="b">
        <f t="shared" si="2"/>
        <v>1</v>
      </c>
      <c r="I33" s="5" t="b">
        <f t="shared" si="3"/>
        <v>1</v>
      </c>
      <c r="J33" s="5" t="b">
        <f t="shared" si="4"/>
        <v>1</v>
      </c>
    </row>
    <row r="34" spans="1:10">
      <c r="C34" s="5">
        <v>0</v>
      </c>
      <c r="D34" s="5">
        <v>0</v>
      </c>
      <c r="E34" s="5">
        <v>0</v>
      </c>
      <c r="F34" s="5">
        <v>0</v>
      </c>
      <c r="G34" s="5" t="b">
        <f t="shared" si="1"/>
        <v>1</v>
      </c>
      <c r="H34" s="5" t="b">
        <f t="shared" si="2"/>
        <v>1</v>
      </c>
      <c r="I34" s="5" t="b">
        <f t="shared" si="3"/>
        <v>1</v>
      </c>
      <c r="J34" s="5" t="b">
        <f t="shared" si="4"/>
        <v>1</v>
      </c>
    </row>
    <row r="35" spans="1:10">
      <c r="C35" s="5">
        <v>0</v>
      </c>
      <c r="D35" s="5">
        <v>0</v>
      </c>
      <c r="E35" s="5">
        <v>0</v>
      </c>
      <c r="F35" s="5">
        <v>0</v>
      </c>
      <c r="G35" s="5" t="b">
        <f t="shared" si="1"/>
        <v>1</v>
      </c>
      <c r="H35" s="5" t="b">
        <f t="shared" si="2"/>
        <v>1</v>
      </c>
      <c r="I35" s="5" t="b">
        <f t="shared" si="3"/>
        <v>1</v>
      </c>
      <c r="J35" s="5" t="b">
        <f t="shared" si="4"/>
        <v>1</v>
      </c>
    </row>
    <row r="36" spans="1:10">
      <c r="C36" s="5">
        <v>0</v>
      </c>
      <c r="D36" s="5">
        <v>0</v>
      </c>
      <c r="E36" s="5">
        <v>0</v>
      </c>
      <c r="F36" s="5">
        <v>0</v>
      </c>
      <c r="G36" s="5" t="b">
        <f t="shared" si="1"/>
        <v>1</v>
      </c>
      <c r="H36" s="5" t="b">
        <f t="shared" si="2"/>
        <v>1</v>
      </c>
      <c r="I36" s="5" t="b">
        <f t="shared" si="3"/>
        <v>1</v>
      </c>
      <c r="J36" s="5" t="b">
        <f t="shared" si="4"/>
        <v>1</v>
      </c>
    </row>
    <row r="37" spans="1:10">
      <c r="C37" s="5">
        <v>0</v>
      </c>
      <c r="D37" s="5">
        <v>0</v>
      </c>
      <c r="E37" s="5">
        <v>0</v>
      </c>
      <c r="F37" s="5">
        <v>0</v>
      </c>
      <c r="G37" s="5" t="b">
        <f t="shared" si="1"/>
        <v>1</v>
      </c>
      <c r="H37" s="5" t="b">
        <f t="shared" si="2"/>
        <v>1</v>
      </c>
      <c r="I37" s="5" t="b">
        <f t="shared" si="3"/>
        <v>1</v>
      </c>
      <c r="J37" s="5" t="b">
        <f t="shared" si="4"/>
        <v>1</v>
      </c>
    </row>
    <row r="38" spans="1:10">
      <c r="C38" s="5">
        <v>0</v>
      </c>
      <c r="D38" s="5">
        <v>0</v>
      </c>
      <c r="E38" s="5">
        <v>0</v>
      </c>
      <c r="F38" s="5">
        <v>0</v>
      </c>
      <c r="G38" s="5" t="b">
        <f t="shared" si="1"/>
        <v>1</v>
      </c>
      <c r="H38" s="5" t="b">
        <f t="shared" si="2"/>
        <v>1</v>
      </c>
      <c r="I38" s="5" t="b">
        <f t="shared" si="3"/>
        <v>1</v>
      </c>
      <c r="J38" s="5" t="b">
        <f t="shared" si="4"/>
        <v>1</v>
      </c>
    </row>
    <row r="39" spans="1:10">
      <c r="C39" s="5">
        <v>0</v>
      </c>
      <c r="D39" s="5">
        <v>0</v>
      </c>
      <c r="E39" s="5">
        <v>0</v>
      </c>
      <c r="F39" s="5">
        <v>0</v>
      </c>
      <c r="G39" s="5" t="b">
        <f t="shared" si="1"/>
        <v>1</v>
      </c>
      <c r="H39" s="5" t="b">
        <f t="shared" si="2"/>
        <v>1</v>
      </c>
      <c r="I39" s="5" t="b">
        <f t="shared" si="3"/>
        <v>1</v>
      </c>
      <c r="J39" s="5" t="b">
        <f t="shared" si="4"/>
        <v>1</v>
      </c>
    </row>
    <row r="40" spans="1:10">
      <c r="C40" s="5">
        <v>0</v>
      </c>
      <c r="D40" s="5">
        <v>0</v>
      </c>
      <c r="E40" s="5">
        <v>0</v>
      </c>
      <c r="F40" s="5">
        <v>0</v>
      </c>
      <c r="G40" s="5" t="b">
        <f t="shared" si="1"/>
        <v>1</v>
      </c>
      <c r="H40" s="5" t="b">
        <f t="shared" si="2"/>
        <v>1</v>
      </c>
      <c r="I40" s="5" t="b">
        <f t="shared" si="3"/>
        <v>1</v>
      </c>
      <c r="J40" s="5" t="b">
        <f t="shared" si="4"/>
        <v>1</v>
      </c>
    </row>
    <row r="41" spans="1:10">
      <c r="C41" s="5">
        <v>0</v>
      </c>
      <c r="D41" s="5">
        <v>0</v>
      </c>
      <c r="E41" s="5">
        <v>0</v>
      </c>
      <c r="F41" s="5">
        <v>0</v>
      </c>
      <c r="G41" s="5" t="b">
        <f t="shared" si="1"/>
        <v>1</v>
      </c>
      <c r="H41" s="5" t="b">
        <f t="shared" si="2"/>
        <v>1</v>
      </c>
      <c r="I41" s="5" t="b">
        <f t="shared" si="3"/>
        <v>1</v>
      </c>
      <c r="J41" s="5" t="b">
        <f t="shared" si="4"/>
        <v>1</v>
      </c>
    </row>
    <row r="42" spans="1:10">
      <c r="C42" s="5">
        <v>0</v>
      </c>
      <c r="D42" s="5">
        <v>0</v>
      </c>
      <c r="E42" s="5">
        <v>0</v>
      </c>
      <c r="F42" s="5">
        <v>0</v>
      </c>
      <c r="G42" s="5" t="b">
        <f t="shared" si="1"/>
        <v>1</v>
      </c>
      <c r="H42" s="5" t="b">
        <f t="shared" si="2"/>
        <v>1</v>
      </c>
      <c r="I42" s="5" t="b">
        <f t="shared" si="3"/>
        <v>1</v>
      </c>
      <c r="J42" s="5" t="b">
        <f t="shared" si="4"/>
        <v>1</v>
      </c>
    </row>
    <row r="43" spans="1:10">
      <c r="C43" s="5">
        <v>0</v>
      </c>
      <c r="D43" s="5">
        <v>0</v>
      </c>
      <c r="E43" s="5">
        <v>0</v>
      </c>
      <c r="F43" s="5">
        <v>0</v>
      </c>
      <c r="G43" s="5" t="b">
        <f t="shared" si="1"/>
        <v>1</v>
      </c>
      <c r="H43" s="5" t="b">
        <f t="shared" si="2"/>
        <v>1</v>
      </c>
      <c r="I43" s="5" t="b">
        <f t="shared" si="3"/>
        <v>1</v>
      </c>
      <c r="J43" s="5" t="b">
        <f t="shared" si="4"/>
        <v>1</v>
      </c>
    </row>
    <row r="44" spans="1:10">
      <c r="C44" s="5">
        <v>0</v>
      </c>
      <c r="D44" s="5">
        <v>0</v>
      </c>
      <c r="E44" s="5">
        <v>0</v>
      </c>
      <c r="F44" s="5">
        <v>0</v>
      </c>
      <c r="G44" s="5" t="b">
        <f t="shared" si="1"/>
        <v>1</v>
      </c>
      <c r="H44" s="5" t="b">
        <f t="shared" si="2"/>
        <v>1</v>
      </c>
      <c r="I44" s="5" t="b">
        <f t="shared" si="3"/>
        <v>1</v>
      </c>
      <c r="J44" s="5" t="b">
        <f t="shared" si="4"/>
        <v>1</v>
      </c>
    </row>
    <row r="45" spans="1:10">
      <c r="C45" s="5">
        <v>0</v>
      </c>
      <c r="D45" s="5">
        <v>0</v>
      </c>
      <c r="E45" s="5">
        <v>0</v>
      </c>
      <c r="F45" s="5">
        <v>0</v>
      </c>
      <c r="G45" s="5" t="b">
        <f t="shared" si="1"/>
        <v>1</v>
      </c>
      <c r="H45" s="5" t="b">
        <f t="shared" si="2"/>
        <v>1</v>
      </c>
      <c r="I45" s="5" t="b">
        <f t="shared" si="3"/>
        <v>1</v>
      </c>
      <c r="J45" s="5" t="b">
        <f t="shared" si="4"/>
        <v>1</v>
      </c>
    </row>
    <row r="46" spans="1:10">
      <c r="C46" s="5">
        <v>0</v>
      </c>
      <c r="D46" s="5">
        <v>0</v>
      </c>
      <c r="E46" s="5">
        <v>0</v>
      </c>
      <c r="F46" s="5">
        <v>0</v>
      </c>
      <c r="G46" s="5" t="b">
        <f t="shared" si="1"/>
        <v>1</v>
      </c>
      <c r="H46" s="5" t="b">
        <f t="shared" si="2"/>
        <v>1</v>
      </c>
      <c r="I46" s="5" t="b">
        <f t="shared" si="3"/>
        <v>1</v>
      </c>
      <c r="J46" s="5" t="b">
        <f t="shared" si="4"/>
        <v>1</v>
      </c>
    </row>
    <row r="47" spans="1:10">
      <c r="B47" s="15"/>
      <c r="C47" s="5">
        <v>0</v>
      </c>
      <c r="D47" s="5">
        <v>0</v>
      </c>
      <c r="E47" s="5">
        <v>0</v>
      </c>
      <c r="F47" s="5">
        <v>0</v>
      </c>
      <c r="G47" s="5" t="b">
        <f t="shared" si="1"/>
        <v>1</v>
      </c>
      <c r="H47" s="5" t="b">
        <f t="shared" si="2"/>
        <v>1</v>
      </c>
      <c r="I47" s="5" t="b">
        <f t="shared" si="3"/>
        <v>1</v>
      </c>
      <c r="J47" s="5" t="b">
        <f t="shared" si="4"/>
        <v>1</v>
      </c>
    </row>
    <row r="48" spans="1:10">
      <c r="C48" s="5">
        <v>0</v>
      </c>
      <c r="D48" s="5">
        <v>0</v>
      </c>
      <c r="E48" s="5">
        <v>0</v>
      </c>
      <c r="F48" s="5">
        <v>0</v>
      </c>
      <c r="G48" s="5" t="b">
        <f t="shared" si="1"/>
        <v>1</v>
      </c>
      <c r="H48" s="5" t="b">
        <f t="shared" si="2"/>
        <v>1</v>
      </c>
      <c r="I48" s="5" t="b">
        <f t="shared" si="3"/>
        <v>1</v>
      </c>
      <c r="J48" s="5" t="b">
        <f t="shared" si="4"/>
        <v>1</v>
      </c>
    </row>
    <row r="49" spans="3:10">
      <c r="C49" s="5">
        <v>0</v>
      </c>
      <c r="D49" s="5">
        <v>0</v>
      </c>
      <c r="E49" s="5">
        <v>0</v>
      </c>
      <c r="F49" s="5">
        <v>0</v>
      </c>
      <c r="G49" s="5" t="b">
        <f t="shared" si="1"/>
        <v>1</v>
      </c>
      <c r="H49" s="5" t="b">
        <f t="shared" si="2"/>
        <v>1</v>
      </c>
      <c r="I49" s="5" t="b">
        <f t="shared" si="3"/>
        <v>1</v>
      </c>
      <c r="J49" s="5" t="b">
        <f t="shared" si="4"/>
        <v>1</v>
      </c>
    </row>
    <row r="50" spans="3:10">
      <c r="C50" s="5">
        <v>0</v>
      </c>
      <c r="D50" s="5">
        <v>0</v>
      </c>
      <c r="E50" s="5">
        <v>0</v>
      </c>
      <c r="F50" s="5">
        <v>0</v>
      </c>
      <c r="G50" s="5" t="b">
        <f t="shared" si="1"/>
        <v>1</v>
      </c>
      <c r="H50" s="5" t="b">
        <f t="shared" si="2"/>
        <v>1</v>
      </c>
      <c r="I50" s="5" t="b">
        <f t="shared" si="3"/>
        <v>1</v>
      </c>
      <c r="J50" s="5" t="b">
        <f t="shared" si="4"/>
        <v>1</v>
      </c>
    </row>
    <row r="51" spans="3:10">
      <c r="C51" s="5">
        <v>0</v>
      </c>
      <c r="D51" s="5">
        <v>0</v>
      </c>
      <c r="E51" s="5">
        <v>0</v>
      </c>
      <c r="F51" s="5">
        <v>0</v>
      </c>
      <c r="G51" s="5" t="b">
        <f t="shared" si="1"/>
        <v>1</v>
      </c>
      <c r="H51" s="5" t="b">
        <f t="shared" si="2"/>
        <v>1</v>
      </c>
      <c r="I51" s="5" t="b">
        <f t="shared" si="3"/>
        <v>1</v>
      </c>
      <c r="J51" s="5" t="b">
        <f t="shared" si="4"/>
        <v>1</v>
      </c>
    </row>
    <row r="52" spans="3:10">
      <c r="C52" s="5">
        <v>0</v>
      </c>
      <c r="D52" s="5">
        <v>0</v>
      </c>
      <c r="E52" s="5">
        <v>0</v>
      </c>
      <c r="F52" s="5">
        <v>0</v>
      </c>
      <c r="G52" s="5" t="b">
        <f t="shared" si="1"/>
        <v>1</v>
      </c>
      <c r="H52" s="5" t="b">
        <f t="shared" si="2"/>
        <v>1</v>
      </c>
      <c r="I52" s="5" t="b">
        <f t="shared" si="3"/>
        <v>1</v>
      </c>
      <c r="J52" s="5" t="b">
        <f t="shared" si="4"/>
        <v>1</v>
      </c>
    </row>
    <row r="53" spans="3:10">
      <c r="C53" s="5">
        <v>0</v>
      </c>
      <c r="D53" s="5">
        <v>0</v>
      </c>
      <c r="E53" s="5">
        <v>0</v>
      </c>
      <c r="F53" s="5">
        <v>0</v>
      </c>
      <c r="G53" s="5" t="b">
        <f t="shared" si="1"/>
        <v>1</v>
      </c>
      <c r="H53" s="5" t="b">
        <f t="shared" si="2"/>
        <v>1</v>
      </c>
      <c r="I53" s="5" t="b">
        <f t="shared" si="3"/>
        <v>1</v>
      </c>
      <c r="J53" s="5" t="b">
        <f t="shared" si="4"/>
        <v>1</v>
      </c>
    </row>
    <row r="54" spans="3:10">
      <c r="C54" s="5">
        <v>0</v>
      </c>
      <c r="D54" s="5">
        <v>0</v>
      </c>
      <c r="E54" s="5">
        <v>0</v>
      </c>
      <c r="F54" s="5">
        <v>0</v>
      </c>
      <c r="G54" s="5" t="b">
        <f t="shared" si="1"/>
        <v>1</v>
      </c>
      <c r="H54" s="5" t="b">
        <f t="shared" si="2"/>
        <v>1</v>
      </c>
      <c r="I54" s="5" t="b">
        <f t="shared" si="3"/>
        <v>1</v>
      </c>
      <c r="J54" s="5" t="b">
        <f t="shared" si="4"/>
        <v>1</v>
      </c>
    </row>
    <row r="55" spans="3:10">
      <c r="C55" s="5">
        <v>0</v>
      </c>
      <c r="D55" s="5">
        <v>0</v>
      </c>
      <c r="E55" s="5">
        <v>0</v>
      </c>
      <c r="F55" s="5">
        <v>0</v>
      </c>
      <c r="G55" s="5" t="b">
        <f t="shared" si="1"/>
        <v>1</v>
      </c>
      <c r="H55" s="5" t="b">
        <f t="shared" si="2"/>
        <v>1</v>
      </c>
      <c r="I55" s="5" t="b">
        <f t="shared" si="3"/>
        <v>1</v>
      </c>
      <c r="J55" s="5" t="b">
        <f t="shared" si="4"/>
        <v>1</v>
      </c>
    </row>
    <row r="56" spans="3:10">
      <c r="C56" s="5">
        <v>0</v>
      </c>
      <c r="D56" s="5">
        <v>0</v>
      </c>
      <c r="E56" s="5">
        <v>0</v>
      </c>
      <c r="F56" s="5">
        <v>0</v>
      </c>
      <c r="G56" s="5" t="b">
        <f t="shared" si="1"/>
        <v>1</v>
      </c>
      <c r="H56" s="5" t="b">
        <f t="shared" si="2"/>
        <v>1</v>
      </c>
      <c r="I56" s="5" t="b">
        <f t="shared" si="3"/>
        <v>1</v>
      </c>
      <c r="J56" s="5" t="b">
        <f t="shared" si="4"/>
        <v>1</v>
      </c>
    </row>
    <row r="57" spans="3:10">
      <c r="C57" s="5">
        <v>0</v>
      </c>
      <c r="D57" s="5">
        <v>0</v>
      </c>
      <c r="E57" s="5">
        <v>0</v>
      </c>
      <c r="F57" s="5">
        <v>0</v>
      </c>
      <c r="G57" s="5" t="b">
        <f t="shared" si="1"/>
        <v>1</v>
      </c>
      <c r="H57" s="5" t="b">
        <f t="shared" si="2"/>
        <v>1</v>
      </c>
      <c r="I57" s="5" t="b">
        <f t="shared" si="3"/>
        <v>1</v>
      </c>
      <c r="J57" s="5" t="b">
        <f t="shared" si="4"/>
        <v>1</v>
      </c>
    </row>
    <row r="58" spans="3:10">
      <c r="C58" s="5">
        <v>0</v>
      </c>
      <c r="D58" s="5">
        <v>0</v>
      </c>
      <c r="E58" s="5">
        <v>0</v>
      </c>
      <c r="F58" s="5">
        <v>0</v>
      </c>
      <c r="G58" s="5" t="b">
        <f t="shared" si="1"/>
        <v>1</v>
      </c>
      <c r="H58" s="5" t="b">
        <f t="shared" si="2"/>
        <v>1</v>
      </c>
      <c r="I58" s="5" t="b">
        <f t="shared" si="3"/>
        <v>1</v>
      </c>
      <c r="J58" s="5" t="b">
        <f t="shared" si="4"/>
        <v>1</v>
      </c>
    </row>
    <row r="59" spans="3:10">
      <c r="C59" s="5">
        <v>0</v>
      </c>
      <c r="D59" s="5">
        <v>0</v>
      </c>
      <c r="E59" s="5">
        <v>0</v>
      </c>
      <c r="F59" s="5">
        <v>0</v>
      </c>
      <c r="G59" s="5" t="b">
        <f t="shared" si="1"/>
        <v>1</v>
      </c>
      <c r="H59" s="5" t="b">
        <f t="shared" si="2"/>
        <v>1</v>
      </c>
      <c r="I59" s="5" t="b">
        <f t="shared" si="3"/>
        <v>1</v>
      </c>
      <c r="J59" s="5" t="b">
        <f t="shared" si="4"/>
        <v>1</v>
      </c>
    </row>
    <row r="60" spans="3:10">
      <c r="C60" s="5">
        <v>0</v>
      </c>
      <c r="D60" s="5">
        <v>0</v>
      </c>
      <c r="E60" s="5">
        <v>0</v>
      </c>
      <c r="F60" s="5">
        <v>0</v>
      </c>
      <c r="G60" s="5" t="b">
        <f t="shared" si="1"/>
        <v>1</v>
      </c>
      <c r="H60" s="5" t="b">
        <f t="shared" si="2"/>
        <v>1</v>
      </c>
      <c r="I60" s="5" t="b">
        <f t="shared" si="3"/>
        <v>1</v>
      </c>
      <c r="J60" s="5" t="b">
        <f t="shared" si="4"/>
        <v>1</v>
      </c>
    </row>
    <row r="61" spans="3:10">
      <c r="C61" s="5">
        <v>0</v>
      </c>
      <c r="D61" s="5">
        <v>0</v>
      </c>
      <c r="E61" s="5">
        <v>0</v>
      </c>
      <c r="F61" s="5">
        <v>0</v>
      </c>
      <c r="G61" s="5" t="b">
        <f t="shared" si="1"/>
        <v>1</v>
      </c>
      <c r="H61" s="5" t="b">
        <f t="shared" si="2"/>
        <v>1</v>
      </c>
      <c r="I61" s="5" t="b">
        <f t="shared" si="3"/>
        <v>1</v>
      </c>
      <c r="J61" s="5" t="b">
        <f t="shared" si="4"/>
        <v>1</v>
      </c>
    </row>
    <row r="62" spans="3:10">
      <c r="C62" s="5">
        <v>0</v>
      </c>
      <c r="D62" s="5">
        <v>0</v>
      </c>
      <c r="E62" s="5">
        <v>0</v>
      </c>
      <c r="F62" s="5">
        <v>0</v>
      </c>
      <c r="G62" s="5" t="b">
        <f t="shared" si="1"/>
        <v>1</v>
      </c>
      <c r="H62" s="5" t="b">
        <f t="shared" si="2"/>
        <v>1</v>
      </c>
      <c r="I62" s="5" t="b">
        <f t="shared" si="3"/>
        <v>1</v>
      </c>
      <c r="J62" s="5" t="b">
        <f t="shared" si="4"/>
        <v>1</v>
      </c>
    </row>
    <row r="63" spans="3:10">
      <c r="C63" s="5">
        <v>0</v>
      </c>
      <c r="D63" s="5">
        <v>0</v>
      </c>
      <c r="E63" s="5">
        <v>0</v>
      </c>
      <c r="F63" s="5">
        <v>0</v>
      </c>
      <c r="G63" s="5" t="b">
        <f t="shared" si="1"/>
        <v>1</v>
      </c>
      <c r="H63" s="5" t="b">
        <f t="shared" si="2"/>
        <v>1</v>
      </c>
      <c r="I63" s="5" t="b">
        <f t="shared" si="3"/>
        <v>1</v>
      </c>
      <c r="J63" s="5" t="b">
        <f t="shared" si="4"/>
        <v>1</v>
      </c>
    </row>
    <row r="64" spans="3:10">
      <c r="C64" s="5">
        <v>0</v>
      </c>
      <c r="D64" s="5">
        <v>0</v>
      </c>
      <c r="E64" s="5">
        <v>0</v>
      </c>
      <c r="F64" s="5">
        <v>0</v>
      </c>
      <c r="G64" s="5" t="b">
        <f t="shared" si="1"/>
        <v>1</v>
      </c>
      <c r="H64" s="5" t="b">
        <f t="shared" si="2"/>
        <v>1</v>
      </c>
      <c r="I64" s="5" t="b">
        <f t="shared" si="3"/>
        <v>1</v>
      </c>
      <c r="J64" s="5" t="b">
        <f t="shared" si="4"/>
        <v>1</v>
      </c>
    </row>
    <row r="65" spans="3:10">
      <c r="C65" s="5">
        <v>0</v>
      </c>
      <c r="D65" s="5">
        <v>0</v>
      </c>
      <c r="E65" s="5">
        <v>0</v>
      </c>
      <c r="F65" s="5">
        <v>0</v>
      </c>
      <c r="G65" s="5" t="b">
        <f t="shared" si="1"/>
        <v>1</v>
      </c>
      <c r="H65" s="5" t="b">
        <f t="shared" si="2"/>
        <v>1</v>
      </c>
      <c r="I65" s="5" t="b">
        <f t="shared" si="3"/>
        <v>1</v>
      </c>
      <c r="J65" s="5" t="b">
        <f t="shared" si="4"/>
        <v>1</v>
      </c>
    </row>
    <row r="66" spans="3:10">
      <c r="C66" s="5">
        <v>0</v>
      </c>
      <c r="D66" s="5">
        <v>0</v>
      </c>
      <c r="E66" s="5">
        <v>0</v>
      </c>
      <c r="F66" s="5">
        <v>0</v>
      </c>
      <c r="G66" s="5" t="b">
        <f t="shared" si="1"/>
        <v>1</v>
      </c>
      <c r="H66" s="5" t="b">
        <f t="shared" si="2"/>
        <v>1</v>
      </c>
      <c r="I66" s="5" t="b">
        <f t="shared" si="3"/>
        <v>1</v>
      </c>
      <c r="J66" s="5" t="b">
        <f t="shared" si="4"/>
        <v>1</v>
      </c>
    </row>
    <row r="67" spans="3:10">
      <c r="C67" s="5">
        <v>0</v>
      </c>
      <c r="D67" s="5">
        <v>0</v>
      </c>
      <c r="E67" s="5">
        <v>0</v>
      </c>
      <c r="F67" s="5">
        <v>0</v>
      </c>
      <c r="G67" s="5" t="b">
        <f t="shared" si="1"/>
        <v>1</v>
      </c>
      <c r="H67" s="5" t="b">
        <f t="shared" si="2"/>
        <v>1</v>
      </c>
      <c r="I67" s="5" t="b">
        <f t="shared" si="3"/>
        <v>1</v>
      </c>
      <c r="J67" s="5" t="b">
        <f t="shared" si="4"/>
        <v>1</v>
      </c>
    </row>
    <row r="68" spans="3:10">
      <c r="C68" s="5">
        <v>0</v>
      </c>
      <c r="D68" s="5">
        <v>0</v>
      </c>
      <c r="E68" s="5">
        <v>0</v>
      </c>
      <c r="F68" s="5">
        <v>0</v>
      </c>
      <c r="G68" s="5" t="b">
        <f t="shared" si="1"/>
        <v>1</v>
      </c>
      <c r="H68" s="5" t="b">
        <f t="shared" si="2"/>
        <v>1</v>
      </c>
      <c r="I68" s="5" t="b">
        <f t="shared" si="3"/>
        <v>1</v>
      </c>
      <c r="J68" s="5" t="b">
        <f t="shared" si="4"/>
        <v>1</v>
      </c>
    </row>
    <row r="69" spans="3:10">
      <c r="C69" s="5">
        <v>0</v>
      </c>
      <c r="D69" s="5">
        <v>0</v>
      </c>
      <c r="E69" s="5">
        <v>0</v>
      </c>
      <c r="F69" s="5">
        <v>0</v>
      </c>
      <c r="G69" s="5" t="b">
        <f t="shared" ref="G69:G132" si="6">ISNUMBER(C69)</f>
        <v>1</v>
      </c>
      <c r="H69" s="5" t="b">
        <f t="shared" ref="H69:H132" si="7">ISNUMBER(D69)</f>
        <v>1</v>
      </c>
      <c r="I69" s="5" t="b">
        <f t="shared" ref="I69:I132" si="8">ISNUMBER(E69)</f>
        <v>1</v>
      </c>
      <c r="J69" s="5" t="b">
        <f t="shared" ref="J69:J132" si="9">ISNUMBER(F69)</f>
        <v>1</v>
      </c>
    </row>
    <row r="70" spans="3:10">
      <c r="C70" s="5">
        <v>0</v>
      </c>
      <c r="D70" s="5">
        <v>0</v>
      </c>
      <c r="E70" s="5">
        <v>0</v>
      </c>
      <c r="F70" s="5">
        <v>0</v>
      </c>
      <c r="G70" s="5" t="b">
        <f t="shared" si="6"/>
        <v>1</v>
      </c>
      <c r="H70" s="5" t="b">
        <f t="shared" si="7"/>
        <v>1</v>
      </c>
      <c r="I70" s="5" t="b">
        <f t="shared" si="8"/>
        <v>1</v>
      </c>
      <c r="J70" s="5" t="b">
        <f t="shared" si="9"/>
        <v>1</v>
      </c>
    </row>
    <row r="71" spans="3:10">
      <c r="C71" s="5">
        <v>0</v>
      </c>
      <c r="D71" s="5">
        <v>0</v>
      </c>
      <c r="E71" s="5">
        <v>0</v>
      </c>
      <c r="F71" s="5">
        <v>0</v>
      </c>
      <c r="G71" s="5" t="b">
        <f t="shared" si="6"/>
        <v>1</v>
      </c>
      <c r="H71" s="5" t="b">
        <f t="shared" si="7"/>
        <v>1</v>
      </c>
      <c r="I71" s="5" t="b">
        <f t="shared" si="8"/>
        <v>1</v>
      </c>
      <c r="J71" s="5" t="b">
        <f t="shared" si="9"/>
        <v>1</v>
      </c>
    </row>
    <row r="72" spans="3:10">
      <c r="C72" s="5">
        <v>0</v>
      </c>
      <c r="D72" s="5">
        <v>0</v>
      </c>
      <c r="E72" s="5">
        <v>0</v>
      </c>
      <c r="F72" s="5">
        <v>0</v>
      </c>
      <c r="G72" s="5" t="b">
        <f t="shared" si="6"/>
        <v>1</v>
      </c>
      <c r="H72" s="5" t="b">
        <f t="shared" si="7"/>
        <v>1</v>
      </c>
      <c r="I72" s="5" t="b">
        <f t="shared" si="8"/>
        <v>1</v>
      </c>
      <c r="J72" s="5" t="b">
        <f t="shared" si="9"/>
        <v>1</v>
      </c>
    </row>
    <row r="73" spans="3:10">
      <c r="C73" s="5">
        <v>0</v>
      </c>
      <c r="D73" s="5">
        <v>0</v>
      </c>
      <c r="E73" s="5">
        <v>0</v>
      </c>
      <c r="F73" s="5">
        <v>0</v>
      </c>
      <c r="G73" s="5" t="b">
        <f t="shared" si="6"/>
        <v>1</v>
      </c>
      <c r="H73" s="5" t="b">
        <f t="shared" si="7"/>
        <v>1</v>
      </c>
      <c r="I73" s="5" t="b">
        <f t="shared" si="8"/>
        <v>1</v>
      </c>
      <c r="J73" s="5" t="b">
        <f t="shared" si="9"/>
        <v>1</v>
      </c>
    </row>
    <row r="74" spans="3:10">
      <c r="C74" s="5">
        <v>0</v>
      </c>
      <c r="D74" s="5">
        <v>0</v>
      </c>
      <c r="E74" s="5">
        <v>0</v>
      </c>
      <c r="F74" s="5">
        <v>0</v>
      </c>
      <c r="G74" s="5" t="b">
        <f t="shared" si="6"/>
        <v>1</v>
      </c>
      <c r="H74" s="5" t="b">
        <f t="shared" si="7"/>
        <v>1</v>
      </c>
      <c r="I74" s="5" t="b">
        <f t="shared" si="8"/>
        <v>1</v>
      </c>
      <c r="J74" s="5" t="b">
        <f t="shared" si="9"/>
        <v>1</v>
      </c>
    </row>
    <row r="75" spans="3:10">
      <c r="C75" s="5">
        <v>0</v>
      </c>
      <c r="D75" s="5">
        <v>0</v>
      </c>
      <c r="E75" s="5">
        <v>0</v>
      </c>
      <c r="F75" s="5">
        <v>0</v>
      </c>
      <c r="G75" s="5" t="b">
        <f t="shared" si="6"/>
        <v>1</v>
      </c>
      <c r="H75" s="5" t="b">
        <f t="shared" si="7"/>
        <v>1</v>
      </c>
      <c r="I75" s="5" t="b">
        <f t="shared" si="8"/>
        <v>1</v>
      </c>
      <c r="J75" s="5" t="b">
        <f t="shared" si="9"/>
        <v>1</v>
      </c>
    </row>
    <row r="76" spans="3:10">
      <c r="C76" s="5">
        <v>0</v>
      </c>
      <c r="D76" s="5">
        <v>0</v>
      </c>
      <c r="E76" s="5">
        <v>0</v>
      </c>
      <c r="F76" s="5">
        <v>0</v>
      </c>
      <c r="G76" s="5" t="b">
        <f t="shared" si="6"/>
        <v>1</v>
      </c>
      <c r="H76" s="5" t="b">
        <f t="shared" si="7"/>
        <v>1</v>
      </c>
      <c r="I76" s="5" t="b">
        <f t="shared" si="8"/>
        <v>1</v>
      </c>
      <c r="J76" s="5" t="b">
        <f t="shared" si="9"/>
        <v>1</v>
      </c>
    </row>
    <row r="77" spans="3:10">
      <c r="C77" s="5">
        <v>0</v>
      </c>
      <c r="D77" s="5">
        <v>0</v>
      </c>
      <c r="E77" s="5">
        <v>0</v>
      </c>
      <c r="F77" s="5">
        <v>0</v>
      </c>
      <c r="G77" s="5" t="b">
        <f t="shared" si="6"/>
        <v>1</v>
      </c>
      <c r="H77" s="5" t="b">
        <f t="shared" si="7"/>
        <v>1</v>
      </c>
      <c r="I77" s="5" t="b">
        <f t="shared" si="8"/>
        <v>1</v>
      </c>
      <c r="J77" s="5" t="b">
        <f t="shared" si="9"/>
        <v>1</v>
      </c>
    </row>
    <row r="78" spans="3:10">
      <c r="C78" s="5">
        <v>0</v>
      </c>
      <c r="D78" s="5">
        <v>0</v>
      </c>
      <c r="E78" s="5">
        <v>0</v>
      </c>
      <c r="F78" s="5">
        <v>0</v>
      </c>
      <c r="G78" s="5" t="b">
        <f t="shared" si="6"/>
        <v>1</v>
      </c>
      <c r="H78" s="5" t="b">
        <f t="shared" si="7"/>
        <v>1</v>
      </c>
      <c r="I78" s="5" t="b">
        <f t="shared" si="8"/>
        <v>1</v>
      </c>
      <c r="J78" s="5" t="b">
        <f t="shared" si="9"/>
        <v>1</v>
      </c>
    </row>
    <row r="79" spans="3:10">
      <c r="C79" s="5">
        <v>0</v>
      </c>
      <c r="D79" s="5">
        <v>0</v>
      </c>
      <c r="E79" s="5">
        <v>0</v>
      </c>
      <c r="F79" s="5">
        <v>0</v>
      </c>
      <c r="G79" s="5" t="b">
        <f t="shared" si="6"/>
        <v>1</v>
      </c>
      <c r="H79" s="5" t="b">
        <f t="shared" si="7"/>
        <v>1</v>
      </c>
      <c r="I79" s="5" t="b">
        <f t="shared" si="8"/>
        <v>1</v>
      </c>
      <c r="J79" s="5" t="b">
        <f t="shared" si="9"/>
        <v>1</v>
      </c>
    </row>
    <row r="80" spans="3:10">
      <c r="C80" s="5">
        <v>0</v>
      </c>
      <c r="D80" s="5">
        <v>0</v>
      </c>
      <c r="E80" s="5">
        <v>0</v>
      </c>
      <c r="F80" s="5">
        <v>0</v>
      </c>
      <c r="G80" s="5" t="b">
        <f t="shared" si="6"/>
        <v>1</v>
      </c>
      <c r="H80" s="5" t="b">
        <f t="shared" si="7"/>
        <v>1</v>
      </c>
      <c r="I80" s="5" t="b">
        <f t="shared" si="8"/>
        <v>1</v>
      </c>
      <c r="J80" s="5" t="b">
        <f t="shared" si="9"/>
        <v>1</v>
      </c>
    </row>
    <row r="81" spans="3:10">
      <c r="C81" s="5">
        <v>0</v>
      </c>
      <c r="D81" s="5">
        <v>0</v>
      </c>
      <c r="E81" s="5">
        <v>0</v>
      </c>
      <c r="F81" s="5">
        <v>0</v>
      </c>
      <c r="G81" s="5" t="b">
        <f t="shared" si="6"/>
        <v>1</v>
      </c>
      <c r="H81" s="5" t="b">
        <f t="shared" si="7"/>
        <v>1</v>
      </c>
      <c r="I81" s="5" t="b">
        <f t="shared" si="8"/>
        <v>1</v>
      </c>
      <c r="J81" s="5" t="b">
        <f t="shared" si="9"/>
        <v>1</v>
      </c>
    </row>
    <row r="82" spans="3:10">
      <c r="C82" s="5">
        <v>0</v>
      </c>
      <c r="D82" s="5">
        <v>0</v>
      </c>
      <c r="E82" s="5">
        <v>0</v>
      </c>
      <c r="F82" s="5">
        <v>0</v>
      </c>
      <c r="G82" s="5" t="b">
        <f t="shared" si="6"/>
        <v>1</v>
      </c>
      <c r="H82" s="5" t="b">
        <f t="shared" si="7"/>
        <v>1</v>
      </c>
      <c r="I82" s="5" t="b">
        <f t="shared" si="8"/>
        <v>1</v>
      </c>
      <c r="J82" s="5" t="b">
        <f t="shared" si="9"/>
        <v>1</v>
      </c>
    </row>
    <row r="83" spans="3:10">
      <c r="C83" s="5">
        <v>0</v>
      </c>
      <c r="D83" s="5">
        <v>0</v>
      </c>
      <c r="E83" s="5">
        <v>0</v>
      </c>
      <c r="F83" s="5">
        <v>0</v>
      </c>
      <c r="G83" s="5" t="b">
        <f t="shared" si="6"/>
        <v>1</v>
      </c>
      <c r="H83" s="5" t="b">
        <f t="shared" si="7"/>
        <v>1</v>
      </c>
      <c r="I83" s="5" t="b">
        <f t="shared" si="8"/>
        <v>1</v>
      </c>
      <c r="J83" s="5" t="b">
        <f t="shared" si="9"/>
        <v>1</v>
      </c>
    </row>
    <row r="84" spans="3:10">
      <c r="C84" s="5">
        <v>0</v>
      </c>
      <c r="D84" s="5">
        <v>0</v>
      </c>
      <c r="E84" s="5">
        <v>0</v>
      </c>
      <c r="F84" s="5">
        <v>0</v>
      </c>
      <c r="G84" s="5" t="b">
        <f t="shared" si="6"/>
        <v>1</v>
      </c>
      <c r="H84" s="5" t="b">
        <f t="shared" si="7"/>
        <v>1</v>
      </c>
      <c r="I84" s="5" t="b">
        <f t="shared" si="8"/>
        <v>1</v>
      </c>
      <c r="J84" s="5" t="b">
        <f t="shared" si="9"/>
        <v>1</v>
      </c>
    </row>
    <row r="85" spans="3:10">
      <c r="C85" s="5">
        <v>0</v>
      </c>
      <c r="D85" s="5">
        <v>0</v>
      </c>
      <c r="E85" s="5">
        <v>0</v>
      </c>
      <c r="F85" s="5">
        <v>0</v>
      </c>
      <c r="G85" s="5" t="b">
        <f t="shared" si="6"/>
        <v>1</v>
      </c>
      <c r="H85" s="5" t="b">
        <f t="shared" si="7"/>
        <v>1</v>
      </c>
      <c r="I85" s="5" t="b">
        <f t="shared" si="8"/>
        <v>1</v>
      </c>
      <c r="J85" s="5" t="b">
        <f t="shared" si="9"/>
        <v>1</v>
      </c>
    </row>
    <row r="86" spans="3:10">
      <c r="C86" s="5">
        <v>0</v>
      </c>
      <c r="D86" s="5">
        <v>0</v>
      </c>
      <c r="E86" s="5">
        <v>0</v>
      </c>
      <c r="F86" s="5">
        <v>0</v>
      </c>
      <c r="G86" s="5" t="b">
        <f t="shared" si="6"/>
        <v>1</v>
      </c>
      <c r="H86" s="5" t="b">
        <f t="shared" si="7"/>
        <v>1</v>
      </c>
      <c r="I86" s="5" t="b">
        <f t="shared" si="8"/>
        <v>1</v>
      </c>
      <c r="J86" s="5" t="b">
        <f t="shared" si="9"/>
        <v>1</v>
      </c>
    </row>
    <row r="87" spans="3:10">
      <c r="C87" s="5">
        <v>0</v>
      </c>
      <c r="D87" s="5">
        <v>0</v>
      </c>
      <c r="E87" s="5">
        <v>0</v>
      </c>
      <c r="F87" s="5">
        <v>0</v>
      </c>
      <c r="G87" s="5" t="b">
        <f t="shared" si="6"/>
        <v>1</v>
      </c>
      <c r="H87" s="5" t="b">
        <f t="shared" si="7"/>
        <v>1</v>
      </c>
      <c r="I87" s="5" t="b">
        <f t="shared" si="8"/>
        <v>1</v>
      </c>
      <c r="J87" s="5" t="b">
        <f t="shared" si="9"/>
        <v>1</v>
      </c>
    </row>
    <row r="88" spans="3:10">
      <c r="C88" s="5">
        <v>0</v>
      </c>
      <c r="D88" s="5">
        <v>0</v>
      </c>
      <c r="E88" s="5">
        <v>0</v>
      </c>
      <c r="F88" s="5">
        <v>0</v>
      </c>
      <c r="G88" s="5" t="b">
        <f t="shared" si="6"/>
        <v>1</v>
      </c>
      <c r="H88" s="5" t="b">
        <f t="shared" si="7"/>
        <v>1</v>
      </c>
      <c r="I88" s="5" t="b">
        <f t="shared" si="8"/>
        <v>1</v>
      </c>
      <c r="J88" s="5" t="b">
        <f t="shared" si="9"/>
        <v>1</v>
      </c>
    </row>
    <row r="89" spans="3:10">
      <c r="C89" s="5">
        <v>0</v>
      </c>
      <c r="D89" s="5">
        <v>0</v>
      </c>
      <c r="E89" s="5">
        <v>0</v>
      </c>
      <c r="F89" s="5">
        <v>0</v>
      </c>
      <c r="G89" s="5" t="b">
        <f t="shared" si="6"/>
        <v>1</v>
      </c>
      <c r="H89" s="5" t="b">
        <f t="shared" si="7"/>
        <v>1</v>
      </c>
      <c r="I89" s="5" t="b">
        <f t="shared" si="8"/>
        <v>1</v>
      </c>
      <c r="J89" s="5" t="b">
        <f t="shared" si="9"/>
        <v>1</v>
      </c>
    </row>
    <row r="90" spans="3:10">
      <c r="C90" s="5">
        <v>0</v>
      </c>
      <c r="D90" s="5">
        <v>0</v>
      </c>
      <c r="E90" s="5">
        <v>0</v>
      </c>
      <c r="F90" s="5">
        <v>0</v>
      </c>
      <c r="G90" s="5" t="b">
        <f t="shared" si="6"/>
        <v>1</v>
      </c>
      <c r="H90" s="5" t="b">
        <f t="shared" si="7"/>
        <v>1</v>
      </c>
      <c r="I90" s="5" t="b">
        <f t="shared" si="8"/>
        <v>1</v>
      </c>
      <c r="J90" s="5" t="b">
        <f t="shared" si="9"/>
        <v>1</v>
      </c>
    </row>
    <row r="91" spans="3:10">
      <c r="C91" s="5">
        <v>0</v>
      </c>
      <c r="D91" s="5">
        <v>0</v>
      </c>
      <c r="E91" s="5">
        <v>0</v>
      </c>
      <c r="F91" s="5">
        <v>0</v>
      </c>
      <c r="G91" s="5" t="b">
        <f t="shared" si="6"/>
        <v>1</v>
      </c>
      <c r="H91" s="5" t="b">
        <f t="shared" si="7"/>
        <v>1</v>
      </c>
      <c r="I91" s="5" t="b">
        <f t="shared" si="8"/>
        <v>1</v>
      </c>
      <c r="J91" s="5" t="b">
        <f t="shared" si="9"/>
        <v>1</v>
      </c>
    </row>
    <row r="92" spans="3:10">
      <c r="C92" s="5">
        <v>0</v>
      </c>
      <c r="D92" s="5">
        <v>0</v>
      </c>
      <c r="E92" s="5">
        <v>0</v>
      </c>
      <c r="F92" s="5">
        <v>0</v>
      </c>
      <c r="G92" s="5" t="b">
        <f t="shared" si="6"/>
        <v>1</v>
      </c>
      <c r="H92" s="5" t="b">
        <f t="shared" si="7"/>
        <v>1</v>
      </c>
      <c r="I92" s="5" t="b">
        <f t="shared" si="8"/>
        <v>1</v>
      </c>
      <c r="J92" s="5" t="b">
        <f t="shared" si="9"/>
        <v>1</v>
      </c>
    </row>
    <row r="93" spans="3:10">
      <c r="C93" s="5">
        <v>0</v>
      </c>
      <c r="D93" s="5">
        <v>0</v>
      </c>
      <c r="E93" s="5">
        <v>0</v>
      </c>
      <c r="F93" s="5">
        <v>0</v>
      </c>
      <c r="G93" s="5" t="b">
        <f t="shared" si="6"/>
        <v>1</v>
      </c>
      <c r="H93" s="5" t="b">
        <f t="shared" si="7"/>
        <v>1</v>
      </c>
      <c r="I93" s="5" t="b">
        <f t="shared" si="8"/>
        <v>1</v>
      </c>
      <c r="J93" s="5" t="b">
        <f t="shared" si="9"/>
        <v>1</v>
      </c>
    </row>
    <row r="94" spans="3:10">
      <c r="C94" s="5">
        <v>0</v>
      </c>
      <c r="D94" s="5">
        <v>0</v>
      </c>
      <c r="E94" s="5">
        <v>0</v>
      </c>
      <c r="F94" s="5">
        <v>0</v>
      </c>
      <c r="G94" s="5" t="b">
        <f t="shared" si="6"/>
        <v>1</v>
      </c>
      <c r="H94" s="5" t="b">
        <f t="shared" si="7"/>
        <v>1</v>
      </c>
      <c r="I94" s="5" t="b">
        <f t="shared" si="8"/>
        <v>1</v>
      </c>
      <c r="J94" s="5" t="b">
        <f t="shared" si="9"/>
        <v>1</v>
      </c>
    </row>
    <row r="95" spans="3:10">
      <c r="C95" s="5">
        <v>0</v>
      </c>
      <c r="D95" s="5">
        <v>0</v>
      </c>
      <c r="E95" s="5">
        <v>0</v>
      </c>
      <c r="F95" s="5">
        <v>0</v>
      </c>
      <c r="G95" s="5" t="b">
        <f t="shared" si="6"/>
        <v>1</v>
      </c>
      <c r="H95" s="5" t="b">
        <f t="shared" si="7"/>
        <v>1</v>
      </c>
      <c r="I95" s="5" t="b">
        <f t="shared" si="8"/>
        <v>1</v>
      </c>
      <c r="J95" s="5" t="b">
        <f t="shared" si="9"/>
        <v>1</v>
      </c>
    </row>
    <row r="96" spans="3:10">
      <c r="C96" s="5">
        <v>0</v>
      </c>
      <c r="D96" s="5">
        <v>0</v>
      </c>
      <c r="E96" s="5">
        <v>0</v>
      </c>
      <c r="F96" s="5">
        <v>0</v>
      </c>
      <c r="G96" s="5" t="b">
        <f t="shared" si="6"/>
        <v>1</v>
      </c>
      <c r="H96" s="5" t="b">
        <f t="shared" si="7"/>
        <v>1</v>
      </c>
      <c r="I96" s="5" t="b">
        <f t="shared" si="8"/>
        <v>1</v>
      </c>
      <c r="J96" s="5" t="b">
        <f t="shared" si="9"/>
        <v>1</v>
      </c>
    </row>
    <row r="97" spans="3:10">
      <c r="C97" s="5">
        <v>0</v>
      </c>
      <c r="D97" s="5">
        <v>0</v>
      </c>
      <c r="E97" s="5">
        <v>0</v>
      </c>
      <c r="F97" s="5">
        <v>0</v>
      </c>
      <c r="G97" s="5" t="b">
        <f t="shared" si="6"/>
        <v>1</v>
      </c>
      <c r="H97" s="5" t="b">
        <f t="shared" si="7"/>
        <v>1</v>
      </c>
      <c r="I97" s="5" t="b">
        <f t="shared" si="8"/>
        <v>1</v>
      </c>
      <c r="J97" s="5" t="b">
        <f t="shared" si="9"/>
        <v>1</v>
      </c>
    </row>
    <row r="98" spans="3:10">
      <c r="C98" s="5">
        <v>0</v>
      </c>
      <c r="D98" s="5">
        <v>0</v>
      </c>
      <c r="E98" s="5">
        <v>0</v>
      </c>
      <c r="F98" s="5">
        <v>0</v>
      </c>
      <c r="G98" s="5" t="b">
        <f t="shared" si="6"/>
        <v>1</v>
      </c>
      <c r="H98" s="5" t="b">
        <f t="shared" si="7"/>
        <v>1</v>
      </c>
      <c r="I98" s="5" t="b">
        <f t="shared" si="8"/>
        <v>1</v>
      </c>
      <c r="J98" s="5" t="b">
        <f t="shared" si="9"/>
        <v>1</v>
      </c>
    </row>
    <row r="99" spans="3:10">
      <c r="C99" s="5">
        <v>0</v>
      </c>
      <c r="D99" s="5">
        <v>0</v>
      </c>
      <c r="E99" s="5">
        <v>0</v>
      </c>
      <c r="F99" s="5">
        <v>0</v>
      </c>
      <c r="G99" s="5" t="b">
        <f t="shared" si="6"/>
        <v>1</v>
      </c>
      <c r="H99" s="5" t="b">
        <f t="shared" si="7"/>
        <v>1</v>
      </c>
      <c r="I99" s="5" t="b">
        <f t="shared" si="8"/>
        <v>1</v>
      </c>
      <c r="J99" s="5" t="b">
        <f t="shared" si="9"/>
        <v>1</v>
      </c>
    </row>
    <row r="100" spans="3:10">
      <c r="C100" s="5">
        <v>0</v>
      </c>
      <c r="D100" s="5">
        <v>0</v>
      </c>
      <c r="E100" s="5">
        <v>0</v>
      </c>
      <c r="F100" s="5">
        <v>0</v>
      </c>
      <c r="G100" s="5" t="b">
        <f t="shared" si="6"/>
        <v>1</v>
      </c>
      <c r="H100" s="5" t="b">
        <f t="shared" si="7"/>
        <v>1</v>
      </c>
      <c r="I100" s="5" t="b">
        <f t="shared" si="8"/>
        <v>1</v>
      </c>
      <c r="J100" s="5" t="b">
        <f t="shared" si="9"/>
        <v>1</v>
      </c>
    </row>
    <row r="101" spans="3:10">
      <c r="C101" s="5">
        <v>0</v>
      </c>
      <c r="D101" s="5">
        <v>0</v>
      </c>
      <c r="E101" s="5">
        <v>0</v>
      </c>
      <c r="F101" s="5">
        <v>0</v>
      </c>
      <c r="G101" s="5" t="b">
        <f t="shared" si="6"/>
        <v>1</v>
      </c>
      <c r="H101" s="5" t="b">
        <f t="shared" si="7"/>
        <v>1</v>
      </c>
      <c r="I101" s="5" t="b">
        <f t="shared" si="8"/>
        <v>1</v>
      </c>
      <c r="J101" s="5" t="b">
        <f t="shared" si="9"/>
        <v>1</v>
      </c>
    </row>
    <row r="102" spans="3:10">
      <c r="C102" s="5">
        <v>0</v>
      </c>
      <c r="D102" s="5">
        <v>0</v>
      </c>
      <c r="E102" s="5">
        <v>0</v>
      </c>
      <c r="F102" s="5">
        <v>0</v>
      </c>
      <c r="G102" s="5" t="b">
        <f t="shared" si="6"/>
        <v>1</v>
      </c>
      <c r="H102" s="5" t="b">
        <f t="shared" si="7"/>
        <v>1</v>
      </c>
      <c r="I102" s="5" t="b">
        <f t="shared" si="8"/>
        <v>1</v>
      </c>
      <c r="J102" s="5" t="b">
        <f t="shared" si="9"/>
        <v>1</v>
      </c>
    </row>
    <row r="103" spans="3:10">
      <c r="C103" s="5">
        <v>0</v>
      </c>
      <c r="D103" s="5">
        <v>0</v>
      </c>
      <c r="E103" s="5">
        <v>0</v>
      </c>
      <c r="F103" s="5">
        <v>0</v>
      </c>
      <c r="G103" s="5" t="b">
        <f t="shared" si="6"/>
        <v>1</v>
      </c>
      <c r="H103" s="5" t="b">
        <f t="shared" si="7"/>
        <v>1</v>
      </c>
      <c r="I103" s="5" t="b">
        <f t="shared" si="8"/>
        <v>1</v>
      </c>
      <c r="J103" s="5" t="b">
        <f t="shared" si="9"/>
        <v>1</v>
      </c>
    </row>
    <row r="104" spans="3:10">
      <c r="C104" s="5">
        <v>0</v>
      </c>
      <c r="D104" s="5">
        <v>0</v>
      </c>
      <c r="E104" s="5">
        <v>0</v>
      </c>
      <c r="F104" s="5">
        <v>0</v>
      </c>
      <c r="G104" s="5" t="b">
        <f t="shared" si="6"/>
        <v>1</v>
      </c>
      <c r="H104" s="5" t="b">
        <f t="shared" si="7"/>
        <v>1</v>
      </c>
      <c r="I104" s="5" t="b">
        <f t="shared" si="8"/>
        <v>1</v>
      </c>
      <c r="J104" s="5" t="b">
        <f t="shared" si="9"/>
        <v>1</v>
      </c>
    </row>
    <row r="105" spans="3:10">
      <c r="C105" s="5">
        <v>0</v>
      </c>
      <c r="D105" s="5">
        <v>0</v>
      </c>
      <c r="E105" s="5">
        <v>0</v>
      </c>
      <c r="F105" s="5">
        <v>0</v>
      </c>
      <c r="G105" s="5" t="b">
        <f t="shared" si="6"/>
        <v>1</v>
      </c>
      <c r="H105" s="5" t="b">
        <f t="shared" si="7"/>
        <v>1</v>
      </c>
      <c r="I105" s="5" t="b">
        <f t="shared" si="8"/>
        <v>1</v>
      </c>
      <c r="J105" s="5" t="b">
        <f t="shared" si="9"/>
        <v>1</v>
      </c>
    </row>
    <row r="106" spans="3:10">
      <c r="C106" s="5">
        <v>0</v>
      </c>
      <c r="D106" s="5">
        <v>0</v>
      </c>
      <c r="E106" s="5">
        <v>0</v>
      </c>
      <c r="F106" s="5">
        <v>0</v>
      </c>
      <c r="G106" s="5" t="b">
        <f t="shared" si="6"/>
        <v>1</v>
      </c>
      <c r="H106" s="5" t="b">
        <f t="shared" si="7"/>
        <v>1</v>
      </c>
      <c r="I106" s="5" t="b">
        <f t="shared" si="8"/>
        <v>1</v>
      </c>
      <c r="J106" s="5" t="b">
        <f t="shared" si="9"/>
        <v>1</v>
      </c>
    </row>
    <row r="107" spans="3:10">
      <c r="C107" s="5">
        <v>0</v>
      </c>
      <c r="D107" s="5">
        <v>0</v>
      </c>
      <c r="E107" s="5">
        <v>0</v>
      </c>
      <c r="F107" s="5">
        <v>0</v>
      </c>
      <c r="G107" s="5" t="b">
        <f t="shared" si="6"/>
        <v>1</v>
      </c>
      <c r="H107" s="5" t="b">
        <f t="shared" si="7"/>
        <v>1</v>
      </c>
      <c r="I107" s="5" t="b">
        <f t="shared" si="8"/>
        <v>1</v>
      </c>
      <c r="J107" s="5" t="b">
        <f t="shared" si="9"/>
        <v>1</v>
      </c>
    </row>
    <row r="108" spans="3:10">
      <c r="C108" s="5">
        <v>0</v>
      </c>
      <c r="D108" s="5">
        <v>0</v>
      </c>
      <c r="E108" s="5">
        <v>0</v>
      </c>
      <c r="F108" s="5">
        <v>0</v>
      </c>
      <c r="G108" s="5" t="b">
        <f t="shared" si="6"/>
        <v>1</v>
      </c>
      <c r="H108" s="5" t="b">
        <f t="shared" si="7"/>
        <v>1</v>
      </c>
      <c r="I108" s="5" t="b">
        <f t="shared" si="8"/>
        <v>1</v>
      </c>
      <c r="J108" s="5" t="b">
        <f t="shared" si="9"/>
        <v>1</v>
      </c>
    </row>
    <row r="109" spans="3:10">
      <c r="C109" s="5">
        <v>0</v>
      </c>
      <c r="D109" s="5">
        <v>0</v>
      </c>
      <c r="E109" s="5">
        <v>0</v>
      </c>
      <c r="F109" s="5">
        <v>0</v>
      </c>
      <c r="G109" s="5" t="b">
        <f t="shared" si="6"/>
        <v>1</v>
      </c>
      <c r="H109" s="5" t="b">
        <f t="shared" si="7"/>
        <v>1</v>
      </c>
      <c r="I109" s="5" t="b">
        <f t="shared" si="8"/>
        <v>1</v>
      </c>
      <c r="J109" s="5" t="b">
        <f t="shared" si="9"/>
        <v>1</v>
      </c>
    </row>
    <row r="110" spans="3:10">
      <c r="C110" s="5">
        <v>0</v>
      </c>
      <c r="D110" s="5">
        <v>0</v>
      </c>
      <c r="E110" s="5">
        <v>0</v>
      </c>
      <c r="F110" s="5">
        <v>0</v>
      </c>
      <c r="G110" s="5" t="b">
        <f t="shared" si="6"/>
        <v>1</v>
      </c>
      <c r="H110" s="5" t="b">
        <f t="shared" si="7"/>
        <v>1</v>
      </c>
      <c r="I110" s="5" t="b">
        <f t="shared" si="8"/>
        <v>1</v>
      </c>
      <c r="J110" s="5" t="b">
        <f t="shared" si="9"/>
        <v>1</v>
      </c>
    </row>
    <row r="111" spans="3:10">
      <c r="C111" s="5">
        <v>0</v>
      </c>
      <c r="D111" s="5">
        <v>0</v>
      </c>
      <c r="E111" s="5">
        <v>0</v>
      </c>
      <c r="F111" s="5">
        <v>0</v>
      </c>
      <c r="G111" s="5" t="b">
        <f t="shared" si="6"/>
        <v>1</v>
      </c>
      <c r="H111" s="5" t="b">
        <f t="shared" si="7"/>
        <v>1</v>
      </c>
      <c r="I111" s="5" t="b">
        <f t="shared" si="8"/>
        <v>1</v>
      </c>
      <c r="J111" s="5" t="b">
        <f t="shared" si="9"/>
        <v>1</v>
      </c>
    </row>
    <row r="112" spans="3:10">
      <c r="C112" s="5">
        <v>0</v>
      </c>
      <c r="D112" s="5">
        <v>0</v>
      </c>
      <c r="E112" s="5">
        <v>0</v>
      </c>
      <c r="F112" s="5">
        <v>0</v>
      </c>
      <c r="G112" s="5" t="b">
        <f t="shared" si="6"/>
        <v>1</v>
      </c>
      <c r="H112" s="5" t="b">
        <f t="shared" si="7"/>
        <v>1</v>
      </c>
      <c r="I112" s="5" t="b">
        <f t="shared" si="8"/>
        <v>1</v>
      </c>
      <c r="J112" s="5" t="b">
        <f t="shared" si="9"/>
        <v>1</v>
      </c>
    </row>
    <row r="113" spans="3:10">
      <c r="C113" s="5">
        <v>0</v>
      </c>
      <c r="D113" s="5">
        <v>0</v>
      </c>
      <c r="E113" s="5">
        <v>0</v>
      </c>
      <c r="F113" s="5">
        <v>0</v>
      </c>
      <c r="G113" s="5" t="b">
        <f t="shared" si="6"/>
        <v>1</v>
      </c>
      <c r="H113" s="5" t="b">
        <f t="shared" si="7"/>
        <v>1</v>
      </c>
      <c r="I113" s="5" t="b">
        <f t="shared" si="8"/>
        <v>1</v>
      </c>
      <c r="J113" s="5" t="b">
        <f t="shared" si="9"/>
        <v>1</v>
      </c>
    </row>
    <row r="114" spans="3:10">
      <c r="C114" s="5">
        <v>0</v>
      </c>
      <c r="D114" s="5">
        <v>0</v>
      </c>
      <c r="E114" s="5">
        <v>0</v>
      </c>
      <c r="F114" s="5">
        <v>0</v>
      </c>
      <c r="G114" s="5" t="b">
        <f t="shared" si="6"/>
        <v>1</v>
      </c>
      <c r="H114" s="5" t="b">
        <f t="shared" si="7"/>
        <v>1</v>
      </c>
      <c r="I114" s="5" t="b">
        <f t="shared" si="8"/>
        <v>1</v>
      </c>
      <c r="J114" s="5" t="b">
        <f t="shared" si="9"/>
        <v>1</v>
      </c>
    </row>
    <row r="115" spans="3:10">
      <c r="C115" s="5">
        <v>0</v>
      </c>
      <c r="D115" s="5">
        <v>0</v>
      </c>
      <c r="E115" s="5">
        <v>0</v>
      </c>
      <c r="F115" s="5">
        <v>0</v>
      </c>
      <c r="G115" s="5" t="b">
        <f t="shared" si="6"/>
        <v>1</v>
      </c>
      <c r="H115" s="5" t="b">
        <f t="shared" si="7"/>
        <v>1</v>
      </c>
      <c r="I115" s="5" t="b">
        <f t="shared" si="8"/>
        <v>1</v>
      </c>
      <c r="J115" s="5" t="b">
        <f t="shared" si="9"/>
        <v>1</v>
      </c>
    </row>
    <row r="116" spans="3:10">
      <c r="C116" s="5">
        <v>0</v>
      </c>
      <c r="D116" s="5">
        <v>0</v>
      </c>
      <c r="E116" s="5">
        <v>0</v>
      </c>
      <c r="F116" s="5">
        <v>0</v>
      </c>
      <c r="G116" s="5" t="b">
        <f t="shared" si="6"/>
        <v>1</v>
      </c>
      <c r="H116" s="5" t="b">
        <f t="shared" si="7"/>
        <v>1</v>
      </c>
      <c r="I116" s="5" t="b">
        <f t="shared" si="8"/>
        <v>1</v>
      </c>
      <c r="J116" s="5" t="b">
        <f t="shared" si="9"/>
        <v>1</v>
      </c>
    </row>
    <row r="117" spans="3:10">
      <c r="C117" s="5">
        <v>0</v>
      </c>
      <c r="D117" s="5">
        <v>0</v>
      </c>
      <c r="E117" s="5">
        <v>0</v>
      </c>
      <c r="F117" s="5">
        <v>0</v>
      </c>
      <c r="G117" s="5" t="b">
        <f t="shared" si="6"/>
        <v>1</v>
      </c>
      <c r="H117" s="5" t="b">
        <f t="shared" si="7"/>
        <v>1</v>
      </c>
      <c r="I117" s="5" t="b">
        <f t="shared" si="8"/>
        <v>1</v>
      </c>
      <c r="J117" s="5" t="b">
        <f t="shared" si="9"/>
        <v>1</v>
      </c>
    </row>
    <row r="118" spans="3:10">
      <c r="C118" s="5">
        <v>0</v>
      </c>
      <c r="D118" s="5">
        <v>0</v>
      </c>
      <c r="E118" s="5">
        <v>0</v>
      </c>
      <c r="F118" s="5">
        <v>0</v>
      </c>
      <c r="G118" s="5" t="b">
        <f t="shared" si="6"/>
        <v>1</v>
      </c>
      <c r="H118" s="5" t="b">
        <f t="shared" si="7"/>
        <v>1</v>
      </c>
      <c r="I118" s="5" t="b">
        <f t="shared" si="8"/>
        <v>1</v>
      </c>
      <c r="J118" s="5" t="b">
        <f t="shared" si="9"/>
        <v>1</v>
      </c>
    </row>
    <row r="119" spans="3:10">
      <c r="C119" s="5">
        <v>0</v>
      </c>
      <c r="D119" s="5">
        <v>0</v>
      </c>
      <c r="E119" s="5">
        <v>0</v>
      </c>
      <c r="F119" s="5">
        <v>0</v>
      </c>
      <c r="G119" s="5" t="b">
        <f t="shared" si="6"/>
        <v>1</v>
      </c>
      <c r="H119" s="5" t="b">
        <f t="shared" si="7"/>
        <v>1</v>
      </c>
      <c r="I119" s="5" t="b">
        <f t="shared" si="8"/>
        <v>1</v>
      </c>
      <c r="J119" s="5" t="b">
        <f t="shared" si="9"/>
        <v>1</v>
      </c>
    </row>
    <row r="120" spans="3:10">
      <c r="C120" s="5">
        <v>0</v>
      </c>
      <c r="D120" s="5">
        <v>0</v>
      </c>
      <c r="E120" s="5">
        <v>0</v>
      </c>
      <c r="F120" s="5">
        <v>0</v>
      </c>
      <c r="G120" s="5" t="b">
        <f t="shared" si="6"/>
        <v>1</v>
      </c>
      <c r="H120" s="5" t="b">
        <f t="shared" si="7"/>
        <v>1</v>
      </c>
      <c r="I120" s="5" t="b">
        <f t="shared" si="8"/>
        <v>1</v>
      </c>
      <c r="J120" s="5" t="b">
        <f t="shared" si="9"/>
        <v>1</v>
      </c>
    </row>
    <row r="121" spans="3:10">
      <c r="C121" s="5">
        <v>0</v>
      </c>
      <c r="D121" s="5">
        <v>0</v>
      </c>
      <c r="E121" s="5">
        <v>0</v>
      </c>
      <c r="F121" s="5">
        <v>0</v>
      </c>
      <c r="G121" s="5" t="b">
        <f t="shared" si="6"/>
        <v>1</v>
      </c>
      <c r="H121" s="5" t="b">
        <f t="shared" si="7"/>
        <v>1</v>
      </c>
      <c r="I121" s="5" t="b">
        <f t="shared" si="8"/>
        <v>1</v>
      </c>
      <c r="J121" s="5" t="b">
        <f t="shared" si="9"/>
        <v>1</v>
      </c>
    </row>
    <row r="122" spans="3:10">
      <c r="C122" s="5">
        <v>0</v>
      </c>
      <c r="D122" s="5">
        <v>0</v>
      </c>
      <c r="E122" s="5">
        <v>0</v>
      </c>
      <c r="F122" s="5">
        <v>0</v>
      </c>
      <c r="G122" s="5" t="b">
        <f t="shared" si="6"/>
        <v>1</v>
      </c>
      <c r="H122" s="5" t="b">
        <f t="shared" si="7"/>
        <v>1</v>
      </c>
      <c r="I122" s="5" t="b">
        <f t="shared" si="8"/>
        <v>1</v>
      </c>
      <c r="J122" s="5" t="b">
        <f t="shared" si="9"/>
        <v>1</v>
      </c>
    </row>
    <row r="123" spans="3:10">
      <c r="C123" s="5">
        <v>0</v>
      </c>
      <c r="D123" s="5">
        <v>0</v>
      </c>
      <c r="E123" s="5">
        <v>0</v>
      </c>
      <c r="F123" s="5">
        <v>0</v>
      </c>
      <c r="G123" s="5" t="b">
        <f t="shared" si="6"/>
        <v>1</v>
      </c>
      <c r="H123" s="5" t="b">
        <f t="shared" si="7"/>
        <v>1</v>
      </c>
      <c r="I123" s="5" t="b">
        <f t="shared" si="8"/>
        <v>1</v>
      </c>
      <c r="J123" s="5" t="b">
        <f t="shared" si="9"/>
        <v>1</v>
      </c>
    </row>
    <row r="124" spans="3:10">
      <c r="C124" s="5">
        <v>0</v>
      </c>
      <c r="D124" s="5">
        <v>0</v>
      </c>
      <c r="E124" s="5">
        <v>0</v>
      </c>
      <c r="F124" s="5">
        <v>0</v>
      </c>
      <c r="G124" s="5" t="b">
        <f t="shared" si="6"/>
        <v>1</v>
      </c>
      <c r="H124" s="5" t="b">
        <f t="shared" si="7"/>
        <v>1</v>
      </c>
      <c r="I124" s="5" t="b">
        <f t="shared" si="8"/>
        <v>1</v>
      </c>
      <c r="J124" s="5" t="b">
        <f t="shared" si="9"/>
        <v>1</v>
      </c>
    </row>
    <row r="125" spans="3:10">
      <c r="C125" s="5">
        <v>0</v>
      </c>
      <c r="D125" s="5">
        <v>0</v>
      </c>
      <c r="E125" s="5">
        <v>0</v>
      </c>
      <c r="F125" s="5">
        <v>0</v>
      </c>
      <c r="G125" s="5" t="b">
        <f t="shared" si="6"/>
        <v>1</v>
      </c>
      <c r="H125" s="5" t="b">
        <f t="shared" si="7"/>
        <v>1</v>
      </c>
      <c r="I125" s="5" t="b">
        <f t="shared" si="8"/>
        <v>1</v>
      </c>
      <c r="J125" s="5" t="b">
        <f t="shared" si="9"/>
        <v>1</v>
      </c>
    </row>
    <row r="126" spans="3:10">
      <c r="C126" s="5">
        <v>0</v>
      </c>
      <c r="D126" s="5">
        <v>0</v>
      </c>
      <c r="E126" s="5">
        <v>0</v>
      </c>
      <c r="F126" s="5">
        <v>0</v>
      </c>
      <c r="G126" s="5" t="b">
        <f t="shared" si="6"/>
        <v>1</v>
      </c>
      <c r="H126" s="5" t="b">
        <f t="shared" si="7"/>
        <v>1</v>
      </c>
      <c r="I126" s="5" t="b">
        <f t="shared" si="8"/>
        <v>1</v>
      </c>
      <c r="J126" s="5" t="b">
        <f t="shared" si="9"/>
        <v>1</v>
      </c>
    </row>
    <row r="127" spans="3:10">
      <c r="C127" s="5">
        <v>0</v>
      </c>
      <c r="D127" s="5">
        <v>0</v>
      </c>
      <c r="E127" s="5">
        <v>0</v>
      </c>
      <c r="F127" s="5">
        <v>0</v>
      </c>
      <c r="G127" s="5" t="b">
        <f t="shared" si="6"/>
        <v>1</v>
      </c>
      <c r="H127" s="5" t="b">
        <f t="shared" si="7"/>
        <v>1</v>
      </c>
      <c r="I127" s="5" t="b">
        <f t="shared" si="8"/>
        <v>1</v>
      </c>
      <c r="J127" s="5" t="b">
        <f t="shared" si="9"/>
        <v>1</v>
      </c>
    </row>
    <row r="128" spans="3:10">
      <c r="C128" s="5">
        <v>0</v>
      </c>
      <c r="D128" s="5">
        <v>0</v>
      </c>
      <c r="E128" s="5">
        <v>0</v>
      </c>
      <c r="F128" s="5">
        <v>0</v>
      </c>
      <c r="G128" s="5" t="b">
        <f t="shared" si="6"/>
        <v>1</v>
      </c>
      <c r="H128" s="5" t="b">
        <f t="shared" si="7"/>
        <v>1</v>
      </c>
      <c r="I128" s="5" t="b">
        <f t="shared" si="8"/>
        <v>1</v>
      </c>
      <c r="J128" s="5" t="b">
        <f t="shared" si="9"/>
        <v>1</v>
      </c>
    </row>
    <row r="129" spans="3:10">
      <c r="C129" s="5">
        <v>0</v>
      </c>
      <c r="D129" s="5">
        <v>0</v>
      </c>
      <c r="E129" s="5">
        <v>0</v>
      </c>
      <c r="F129" s="5">
        <v>0</v>
      </c>
      <c r="G129" s="5" t="b">
        <f t="shared" si="6"/>
        <v>1</v>
      </c>
      <c r="H129" s="5" t="b">
        <f t="shared" si="7"/>
        <v>1</v>
      </c>
      <c r="I129" s="5" t="b">
        <f t="shared" si="8"/>
        <v>1</v>
      </c>
      <c r="J129" s="5" t="b">
        <f t="shared" si="9"/>
        <v>1</v>
      </c>
    </row>
    <row r="130" spans="3:10">
      <c r="C130" s="5">
        <v>0</v>
      </c>
      <c r="D130" s="5">
        <v>0</v>
      </c>
      <c r="E130" s="5">
        <v>0</v>
      </c>
      <c r="F130" s="5">
        <v>0</v>
      </c>
      <c r="G130" s="5" t="b">
        <f t="shared" si="6"/>
        <v>1</v>
      </c>
      <c r="H130" s="5" t="b">
        <f t="shared" si="7"/>
        <v>1</v>
      </c>
      <c r="I130" s="5" t="b">
        <f t="shared" si="8"/>
        <v>1</v>
      </c>
      <c r="J130" s="5" t="b">
        <f t="shared" si="9"/>
        <v>1</v>
      </c>
    </row>
    <row r="131" spans="3:10">
      <c r="C131" s="5">
        <v>0</v>
      </c>
      <c r="D131" s="5">
        <v>0</v>
      </c>
      <c r="E131" s="5">
        <v>0</v>
      </c>
      <c r="F131" s="5">
        <v>0</v>
      </c>
      <c r="G131" s="5" t="b">
        <f t="shared" si="6"/>
        <v>1</v>
      </c>
      <c r="H131" s="5" t="b">
        <f t="shared" si="7"/>
        <v>1</v>
      </c>
      <c r="I131" s="5" t="b">
        <f t="shared" si="8"/>
        <v>1</v>
      </c>
      <c r="J131" s="5" t="b">
        <f t="shared" si="9"/>
        <v>1</v>
      </c>
    </row>
    <row r="132" spans="3:10">
      <c r="C132" s="5">
        <v>0</v>
      </c>
      <c r="D132" s="5">
        <v>0</v>
      </c>
      <c r="E132" s="5">
        <v>0</v>
      </c>
      <c r="F132" s="5">
        <v>0</v>
      </c>
      <c r="G132" s="5" t="b">
        <f t="shared" si="6"/>
        <v>1</v>
      </c>
      <c r="H132" s="5" t="b">
        <f t="shared" si="7"/>
        <v>1</v>
      </c>
      <c r="I132" s="5" t="b">
        <f t="shared" si="8"/>
        <v>1</v>
      </c>
      <c r="J132" s="5" t="b">
        <f t="shared" si="9"/>
        <v>1</v>
      </c>
    </row>
    <row r="133" spans="3:10">
      <c r="C133" s="5">
        <v>0</v>
      </c>
      <c r="D133" s="5">
        <v>0</v>
      </c>
      <c r="E133" s="5">
        <v>0</v>
      </c>
      <c r="F133" s="5">
        <v>0</v>
      </c>
      <c r="G133" s="5" t="b">
        <f t="shared" ref="G133:G196" si="10">ISNUMBER(C133)</f>
        <v>1</v>
      </c>
      <c r="H133" s="5" t="b">
        <f t="shared" ref="H133:H196" si="11">ISNUMBER(D133)</f>
        <v>1</v>
      </c>
      <c r="I133" s="5" t="b">
        <f t="shared" ref="I133:I196" si="12">ISNUMBER(E133)</f>
        <v>1</v>
      </c>
      <c r="J133" s="5" t="b">
        <f t="shared" ref="J133:J196" si="13">ISNUMBER(F133)</f>
        <v>1</v>
      </c>
    </row>
    <row r="134" spans="3:10">
      <c r="C134" s="5">
        <v>0</v>
      </c>
      <c r="D134" s="5">
        <v>0</v>
      </c>
      <c r="E134" s="5">
        <v>0</v>
      </c>
      <c r="F134" s="5">
        <v>0</v>
      </c>
      <c r="G134" s="5" t="b">
        <f t="shared" si="10"/>
        <v>1</v>
      </c>
      <c r="H134" s="5" t="b">
        <f t="shared" si="11"/>
        <v>1</v>
      </c>
      <c r="I134" s="5" t="b">
        <f t="shared" si="12"/>
        <v>1</v>
      </c>
      <c r="J134" s="5" t="b">
        <f t="shared" si="13"/>
        <v>1</v>
      </c>
    </row>
    <row r="135" spans="3:10">
      <c r="C135" s="5">
        <v>0</v>
      </c>
      <c r="D135" s="5">
        <v>0</v>
      </c>
      <c r="E135" s="5">
        <v>0</v>
      </c>
      <c r="F135" s="5">
        <v>0</v>
      </c>
      <c r="G135" s="5" t="b">
        <f t="shared" si="10"/>
        <v>1</v>
      </c>
      <c r="H135" s="5" t="b">
        <f t="shared" si="11"/>
        <v>1</v>
      </c>
      <c r="I135" s="5" t="b">
        <f t="shared" si="12"/>
        <v>1</v>
      </c>
      <c r="J135" s="5" t="b">
        <f t="shared" si="13"/>
        <v>1</v>
      </c>
    </row>
    <row r="136" spans="3:10">
      <c r="C136" s="5">
        <v>0</v>
      </c>
      <c r="D136" s="5">
        <v>0</v>
      </c>
      <c r="E136" s="5">
        <v>0</v>
      </c>
      <c r="F136" s="5">
        <v>0</v>
      </c>
      <c r="G136" s="5" t="b">
        <f t="shared" si="10"/>
        <v>1</v>
      </c>
      <c r="H136" s="5" t="b">
        <f t="shared" si="11"/>
        <v>1</v>
      </c>
      <c r="I136" s="5" t="b">
        <f t="shared" si="12"/>
        <v>1</v>
      </c>
      <c r="J136" s="5" t="b">
        <f t="shared" si="13"/>
        <v>1</v>
      </c>
    </row>
    <row r="137" spans="3:10">
      <c r="C137" s="5">
        <v>0</v>
      </c>
      <c r="D137" s="5">
        <v>0</v>
      </c>
      <c r="E137" s="5">
        <v>0</v>
      </c>
      <c r="F137" s="5">
        <v>0</v>
      </c>
      <c r="G137" s="5" t="b">
        <f t="shared" si="10"/>
        <v>1</v>
      </c>
      <c r="H137" s="5" t="b">
        <f t="shared" si="11"/>
        <v>1</v>
      </c>
      <c r="I137" s="5" t="b">
        <f t="shared" si="12"/>
        <v>1</v>
      </c>
      <c r="J137" s="5" t="b">
        <f t="shared" si="13"/>
        <v>1</v>
      </c>
    </row>
    <row r="138" spans="3:10">
      <c r="C138" s="5">
        <v>0</v>
      </c>
      <c r="D138" s="5">
        <v>0</v>
      </c>
      <c r="E138" s="5">
        <v>0</v>
      </c>
      <c r="F138" s="5">
        <v>0</v>
      </c>
      <c r="G138" s="5" t="b">
        <f t="shared" si="10"/>
        <v>1</v>
      </c>
      <c r="H138" s="5" t="b">
        <f t="shared" si="11"/>
        <v>1</v>
      </c>
      <c r="I138" s="5" t="b">
        <f t="shared" si="12"/>
        <v>1</v>
      </c>
      <c r="J138" s="5" t="b">
        <f t="shared" si="13"/>
        <v>1</v>
      </c>
    </row>
    <row r="139" spans="3:10">
      <c r="C139" s="5">
        <v>0</v>
      </c>
      <c r="D139" s="5">
        <v>0</v>
      </c>
      <c r="E139" s="5">
        <v>0</v>
      </c>
      <c r="F139" s="5">
        <v>0</v>
      </c>
      <c r="G139" s="5" t="b">
        <f t="shared" si="10"/>
        <v>1</v>
      </c>
      <c r="H139" s="5" t="b">
        <f t="shared" si="11"/>
        <v>1</v>
      </c>
      <c r="I139" s="5" t="b">
        <f t="shared" si="12"/>
        <v>1</v>
      </c>
      <c r="J139" s="5" t="b">
        <f t="shared" si="13"/>
        <v>1</v>
      </c>
    </row>
    <row r="140" spans="3:10">
      <c r="C140" s="5">
        <v>0</v>
      </c>
      <c r="D140" s="5">
        <v>0</v>
      </c>
      <c r="E140" s="5">
        <v>0</v>
      </c>
      <c r="F140" s="5">
        <v>0</v>
      </c>
      <c r="G140" s="5" t="b">
        <f t="shared" si="10"/>
        <v>1</v>
      </c>
      <c r="H140" s="5" t="b">
        <f t="shared" si="11"/>
        <v>1</v>
      </c>
      <c r="I140" s="5" t="b">
        <f t="shared" si="12"/>
        <v>1</v>
      </c>
      <c r="J140" s="5" t="b">
        <f t="shared" si="13"/>
        <v>1</v>
      </c>
    </row>
    <row r="141" spans="3:10">
      <c r="C141" s="5">
        <v>0</v>
      </c>
      <c r="D141" s="5">
        <v>0</v>
      </c>
      <c r="E141" s="5">
        <v>0</v>
      </c>
      <c r="F141" s="5">
        <v>0</v>
      </c>
      <c r="G141" s="5" t="b">
        <f t="shared" si="10"/>
        <v>1</v>
      </c>
      <c r="H141" s="5" t="b">
        <f t="shared" si="11"/>
        <v>1</v>
      </c>
      <c r="I141" s="5" t="b">
        <f t="shared" si="12"/>
        <v>1</v>
      </c>
      <c r="J141" s="5" t="b">
        <f t="shared" si="13"/>
        <v>1</v>
      </c>
    </row>
    <row r="142" spans="3:10">
      <c r="C142" s="5">
        <v>0</v>
      </c>
      <c r="D142" s="5">
        <v>0</v>
      </c>
      <c r="E142" s="5">
        <v>0</v>
      </c>
      <c r="F142" s="5">
        <v>0</v>
      </c>
      <c r="G142" s="5" t="b">
        <f t="shared" si="10"/>
        <v>1</v>
      </c>
      <c r="H142" s="5" t="b">
        <f t="shared" si="11"/>
        <v>1</v>
      </c>
      <c r="I142" s="5" t="b">
        <f t="shared" si="12"/>
        <v>1</v>
      </c>
      <c r="J142" s="5" t="b">
        <f t="shared" si="13"/>
        <v>1</v>
      </c>
    </row>
    <row r="143" spans="3:10">
      <c r="C143" s="5">
        <v>0</v>
      </c>
      <c r="D143" s="5">
        <v>0</v>
      </c>
      <c r="E143" s="5">
        <v>0</v>
      </c>
      <c r="F143" s="5">
        <v>0</v>
      </c>
      <c r="G143" s="5" t="b">
        <f t="shared" si="10"/>
        <v>1</v>
      </c>
      <c r="H143" s="5" t="b">
        <f t="shared" si="11"/>
        <v>1</v>
      </c>
      <c r="I143" s="5" t="b">
        <f t="shared" si="12"/>
        <v>1</v>
      </c>
      <c r="J143" s="5" t="b">
        <f t="shared" si="13"/>
        <v>1</v>
      </c>
    </row>
    <row r="144" spans="3:10">
      <c r="C144" s="5">
        <v>0</v>
      </c>
      <c r="D144" s="5">
        <v>0</v>
      </c>
      <c r="E144" s="5">
        <v>0</v>
      </c>
      <c r="F144" s="5">
        <v>0</v>
      </c>
      <c r="G144" s="5" t="b">
        <f t="shared" si="10"/>
        <v>1</v>
      </c>
      <c r="H144" s="5" t="b">
        <f t="shared" si="11"/>
        <v>1</v>
      </c>
      <c r="I144" s="5" t="b">
        <f t="shared" si="12"/>
        <v>1</v>
      </c>
      <c r="J144" s="5" t="b">
        <f t="shared" si="13"/>
        <v>1</v>
      </c>
    </row>
    <row r="145" spans="3:10">
      <c r="C145" s="5">
        <v>0</v>
      </c>
      <c r="D145" s="5">
        <v>0</v>
      </c>
      <c r="E145" s="5">
        <v>0</v>
      </c>
      <c r="F145" s="5">
        <v>0</v>
      </c>
      <c r="G145" s="5" t="b">
        <f t="shared" si="10"/>
        <v>1</v>
      </c>
      <c r="H145" s="5" t="b">
        <f t="shared" si="11"/>
        <v>1</v>
      </c>
      <c r="I145" s="5" t="b">
        <f t="shared" si="12"/>
        <v>1</v>
      </c>
      <c r="J145" s="5" t="b">
        <f t="shared" si="13"/>
        <v>1</v>
      </c>
    </row>
    <row r="146" spans="3:10">
      <c r="C146" s="5">
        <v>0</v>
      </c>
      <c r="D146" s="5">
        <v>0</v>
      </c>
      <c r="E146" s="5">
        <v>0</v>
      </c>
      <c r="F146" s="5">
        <v>0</v>
      </c>
      <c r="G146" s="5" t="b">
        <f t="shared" si="10"/>
        <v>1</v>
      </c>
      <c r="H146" s="5" t="b">
        <f t="shared" si="11"/>
        <v>1</v>
      </c>
      <c r="I146" s="5" t="b">
        <f t="shared" si="12"/>
        <v>1</v>
      </c>
      <c r="J146" s="5" t="b">
        <f t="shared" si="13"/>
        <v>1</v>
      </c>
    </row>
    <row r="147" spans="3:10">
      <c r="C147" s="5">
        <v>0</v>
      </c>
      <c r="D147" s="5">
        <v>0</v>
      </c>
      <c r="E147" s="5">
        <v>0</v>
      </c>
      <c r="F147" s="5">
        <v>0</v>
      </c>
      <c r="G147" s="5" t="b">
        <f t="shared" si="10"/>
        <v>1</v>
      </c>
      <c r="H147" s="5" t="b">
        <f t="shared" si="11"/>
        <v>1</v>
      </c>
      <c r="I147" s="5" t="b">
        <f t="shared" si="12"/>
        <v>1</v>
      </c>
      <c r="J147" s="5" t="b">
        <f t="shared" si="13"/>
        <v>1</v>
      </c>
    </row>
    <row r="148" spans="3:10">
      <c r="C148" s="5">
        <v>0</v>
      </c>
      <c r="D148" s="5">
        <v>0</v>
      </c>
      <c r="E148" s="5">
        <v>0</v>
      </c>
      <c r="F148" s="5">
        <v>0</v>
      </c>
      <c r="G148" s="5" t="b">
        <f t="shared" si="10"/>
        <v>1</v>
      </c>
      <c r="H148" s="5" t="b">
        <f t="shared" si="11"/>
        <v>1</v>
      </c>
      <c r="I148" s="5" t="b">
        <f t="shared" si="12"/>
        <v>1</v>
      </c>
      <c r="J148" s="5" t="b">
        <f t="shared" si="13"/>
        <v>1</v>
      </c>
    </row>
    <row r="149" spans="3:10">
      <c r="C149" s="5">
        <v>0</v>
      </c>
      <c r="D149" s="5">
        <v>0</v>
      </c>
      <c r="E149" s="5">
        <v>0</v>
      </c>
      <c r="F149" s="5">
        <v>0</v>
      </c>
      <c r="G149" s="5" t="b">
        <f t="shared" si="10"/>
        <v>1</v>
      </c>
      <c r="H149" s="5" t="b">
        <f t="shared" si="11"/>
        <v>1</v>
      </c>
      <c r="I149" s="5" t="b">
        <f t="shared" si="12"/>
        <v>1</v>
      </c>
      <c r="J149" s="5" t="b">
        <f t="shared" si="13"/>
        <v>1</v>
      </c>
    </row>
    <row r="150" spans="3:10">
      <c r="C150" s="5">
        <v>0</v>
      </c>
      <c r="D150" s="5">
        <v>0</v>
      </c>
      <c r="E150" s="5">
        <v>0</v>
      </c>
      <c r="F150" s="5">
        <v>0</v>
      </c>
      <c r="G150" s="5" t="b">
        <f t="shared" si="10"/>
        <v>1</v>
      </c>
      <c r="H150" s="5" t="b">
        <f t="shared" si="11"/>
        <v>1</v>
      </c>
      <c r="I150" s="5" t="b">
        <f t="shared" si="12"/>
        <v>1</v>
      </c>
      <c r="J150" s="5" t="b">
        <f t="shared" si="13"/>
        <v>1</v>
      </c>
    </row>
    <row r="151" spans="3:10">
      <c r="C151" s="5">
        <v>0</v>
      </c>
      <c r="D151" s="5">
        <v>0</v>
      </c>
      <c r="E151" s="5">
        <v>0</v>
      </c>
      <c r="F151" s="5">
        <v>0</v>
      </c>
      <c r="G151" s="5" t="b">
        <f t="shared" si="10"/>
        <v>1</v>
      </c>
      <c r="H151" s="5" t="b">
        <f t="shared" si="11"/>
        <v>1</v>
      </c>
      <c r="I151" s="5" t="b">
        <f t="shared" si="12"/>
        <v>1</v>
      </c>
      <c r="J151" s="5" t="b">
        <f t="shared" si="13"/>
        <v>1</v>
      </c>
    </row>
    <row r="152" spans="3:10">
      <c r="C152" s="5">
        <v>0</v>
      </c>
      <c r="D152" s="5">
        <v>0</v>
      </c>
      <c r="E152" s="5">
        <v>0</v>
      </c>
      <c r="F152" s="5">
        <v>0</v>
      </c>
      <c r="G152" s="5" t="b">
        <f t="shared" si="10"/>
        <v>1</v>
      </c>
      <c r="H152" s="5" t="b">
        <f t="shared" si="11"/>
        <v>1</v>
      </c>
      <c r="I152" s="5" t="b">
        <f t="shared" si="12"/>
        <v>1</v>
      </c>
      <c r="J152" s="5" t="b">
        <f t="shared" si="13"/>
        <v>1</v>
      </c>
    </row>
    <row r="153" spans="3:10">
      <c r="C153" s="5">
        <v>0</v>
      </c>
      <c r="D153" s="5">
        <v>0</v>
      </c>
      <c r="E153" s="5">
        <v>0</v>
      </c>
      <c r="F153" s="5">
        <v>0</v>
      </c>
      <c r="G153" s="5" t="b">
        <f t="shared" si="10"/>
        <v>1</v>
      </c>
      <c r="H153" s="5" t="b">
        <f t="shared" si="11"/>
        <v>1</v>
      </c>
      <c r="I153" s="5" t="b">
        <f t="shared" si="12"/>
        <v>1</v>
      </c>
      <c r="J153" s="5" t="b">
        <f t="shared" si="13"/>
        <v>1</v>
      </c>
    </row>
    <row r="154" spans="3:10">
      <c r="C154" s="5">
        <v>0</v>
      </c>
      <c r="D154" s="5">
        <v>0</v>
      </c>
      <c r="E154" s="5">
        <v>0</v>
      </c>
      <c r="F154" s="5">
        <v>0</v>
      </c>
      <c r="G154" s="5" t="b">
        <f t="shared" si="10"/>
        <v>1</v>
      </c>
      <c r="H154" s="5" t="b">
        <f t="shared" si="11"/>
        <v>1</v>
      </c>
      <c r="I154" s="5" t="b">
        <f t="shared" si="12"/>
        <v>1</v>
      </c>
      <c r="J154" s="5" t="b">
        <f t="shared" si="13"/>
        <v>1</v>
      </c>
    </row>
    <row r="155" spans="3:10">
      <c r="C155" s="5">
        <v>0</v>
      </c>
      <c r="D155" s="5">
        <v>0</v>
      </c>
      <c r="E155" s="5">
        <v>0</v>
      </c>
      <c r="F155" s="5">
        <v>0</v>
      </c>
      <c r="G155" s="5" t="b">
        <f t="shared" si="10"/>
        <v>1</v>
      </c>
      <c r="H155" s="5" t="b">
        <f t="shared" si="11"/>
        <v>1</v>
      </c>
      <c r="I155" s="5" t="b">
        <f t="shared" si="12"/>
        <v>1</v>
      </c>
      <c r="J155" s="5" t="b">
        <f t="shared" si="13"/>
        <v>1</v>
      </c>
    </row>
    <row r="156" spans="3:10">
      <c r="C156" s="5">
        <v>0</v>
      </c>
      <c r="D156" s="5">
        <v>0</v>
      </c>
      <c r="E156" s="5">
        <v>0</v>
      </c>
      <c r="F156" s="5">
        <v>0</v>
      </c>
      <c r="G156" s="5" t="b">
        <f t="shared" si="10"/>
        <v>1</v>
      </c>
      <c r="H156" s="5" t="b">
        <f t="shared" si="11"/>
        <v>1</v>
      </c>
      <c r="I156" s="5" t="b">
        <f t="shared" si="12"/>
        <v>1</v>
      </c>
      <c r="J156" s="5" t="b">
        <f t="shared" si="13"/>
        <v>1</v>
      </c>
    </row>
    <row r="157" spans="3:10">
      <c r="C157" s="5">
        <v>0</v>
      </c>
      <c r="D157" s="5">
        <v>0</v>
      </c>
      <c r="E157" s="5">
        <v>0</v>
      </c>
      <c r="F157" s="5">
        <v>0</v>
      </c>
      <c r="G157" s="5" t="b">
        <f t="shared" si="10"/>
        <v>1</v>
      </c>
      <c r="H157" s="5" t="b">
        <f t="shared" si="11"/>
        <v>1</v>
      </c>
      <c r="I157" s="5" t="b">
        <f t="shared" si="12"/>
        <v>1</v>
      </c>
      <c r="J157" s="5" t="b">
        <f t="shared" si="13"/>
        <v>1</v>
      </c>
    </row>
    <row r="158" spans="3:10">
      <c r="C158" s="5">
        <v>0</v>
      </c>
      <c r="D158" s="5">
        <v>0</v>
      </c>
      <c r="E158" s="5">
        <v>0</v>
      </c>
      <c r="F158" s="5">
        <v>0</v>
      </c>
      <c r="G158" s="5" t="b">
        <f t="shared" si="10"/>
        <v>1</v>
      </c>
      <c r="H158" s="5" t="b">
        <f t="shared" si="11"/>
        <v>1</v>
      </c>
      <c r="I158" s="5" t="b">
        <f t="shared" si="12"/>
        <v>1</v>
      </c>
      <c r="J158" s="5" t="b">
        <f t="shared" si="13"/>
        <v>1</v>
      </c>
    </row>
    <row r="159" spans="3:10">
      <c r="C159" s="5">
        <v>0</v>
      </c>
      <c r="D159" s="5">
        <v>0</v>
      </c>
      <c r="E159" s="5">
        <v>0</v>
      </c>
      <c r="F159" s="5">
        <v>0</v>
      </c>
      <c r="G159" s="5" t="b">
        <f t="shared" si="10"/>
        <v>1</v>
      </c>
      <c r="H159" s="5" t="b">
        <f t="shared" si="11"/>
        <v>1</v>
      </c>
      <c r="I159" s="5" t="b">
        <f t="shared" si="12"/>
        <v>1</v>
      </c>
      <c r="J159" s="5" t="b">
        <f t="shared" si="13"/>
        <v>1</v>
      </c>
    </row>
    <row r="160" spans="3:10">
      <c r="C160" s="5">
        <v>0</v>
      </c>
      <c r="D160" s="5">
        <v>0</v>
      </c>
      <c r="E160" s="5">
        <v>0</v>
      </c>
      <c r="F160" s="5">
        <v>0</v>
      </c>
      <c r="G160" s="5" t="b">
        <f t="shared" si="10"/>
        <v>1</v>
      </c>
      <c r="H160" s="5" t="b">
        <f t="shared" si="11"/>
        <v>1</v>
      </c>
      <c r="I160" s="5" t="b">
        <f t="shared" si="12"/>
        <v>1</v>
      </c>
      <c r="J160" s="5" t="b">
        <f t="shared" si="13"/>
        <v>1</v>
      </c>
    </row>
    <row r="161" spans="3:10">
      <c r="C161" s="5">
        <v>0</v>
      </c>
      <c r="D161" s="5">
        <v>0</v>
      </c>
      <c r="E161" s="5">
        <v>0</v>
      </c>
      <c r="F161" s="5">
        <v>0</v>
      </c>
      <c r="G161" s="5" t="b">
        <f t="shared" si="10"/>
        <v>1</v>
      </c>
      <c r="H161" s="5" t="b">
        <f t="shared" si="11"/>
        <v>1</v>
      </c>
      <c r="I161" s="5" t="b">
        <f t="shared" si="12"/>
        <v>1</v>
      </c>
      <c r="J161" s="5" t="b">
        <f t="shared" si="13"/>
        <v>1</v>
      </c>
    </row>
    <row r="162" spans="3:10">
      <c r="C162" s="5">
        <v>0</v>
      </c>
      <c r="D162" s="5">
        <v>0</v>
      </c>
      <c r="E162" s="5">
        <v>0</v>
      </c>
      <c r="F162" s="5">
        <v>0</v>
      </c>
      <c r="G162" s="5" t="b">
        <f t="shared" si="10"/>
        <v>1</v>
      </c>
      <c r="H162" s="5" t="b">
        <f t="shared" si="11"/>
        <v>1</v>
      </c>
      <c r="I162" s="5" t="b">
        <f t="shared" si="12"/>
        <v>1</v>
      </c>
      <c r="J162" s="5" t="b">
        <f t="shared" si="13"/>
        <v>1</v>
      </c>
    </row>
    <row r="163" spans="3:10">
      <c r="C163" s="5">
        <v>0</v>
      </c>
      <c r="D163" s="5">
        <v>0</v>
      </c>
      <c r="E163" s="5">
        <v>0</v>
      </c>
      <c r="F163" s="5">
        <v>0</v>
      </c>
      <c r="G163" s="5" t="b">
        <f t="shared" si="10"/>
        <v>1</v>
      </c>
      <c r="H163" s="5" t="b">
        <f t="shared" si="11"/>
        <v>1</v>
      </c>
      <c r="I163" s="5" t="b">
        <f t="shared" si="12"/>
        <v>1</v>
      </c>
      <c r="J163" s="5" t="b">
        <f t="shared" si="13"/>
        <v>1</v>
      </c>
    </row>
    <row r="164" spans="3:10">
      <c r="C164" s="5">
        <v>0</v>
      </c>
      <c r="D164" s="5">
        <v>0</v>
      </c>
      <c r="E164" s="5">
        <v>0</v>
      </c>
      <c r="F164" s="5">
        <v>0</v>
      </c>
      <c r="G164" s="5" t="b">
        <f t="shared" si="10"/>
        <v>1</v>
      </c>
      <c r="H164" s="5" t="b">
        <f t="shared" si="11"/>
        <v>1</v>
      </c>
      <c r="I164" s="5" t="b">
        <f t="shared" si="12"/>
        <v>1</v>
      </c>
      <c r="J164" s="5" t="b">
        <f t="shared" si="13"/>
        <v>1</v>
      </c>
    </row>
    <row r="165" spans="3:10">
      <c r="C165" s="5">
        <v>0</v>
      </c>
      <c r="D165" s="5">
        <v>0</v>
      </c>
      <c r="E165" s="5">
        <v>0</v>
      </c>
      <c r="F165" s="5">
        <v>0</v>
      </c>
      <c r="G165" s="5" t="b">
        <f t="shared" si="10"/>
        <v>1</v>
      </c>
      <c r="H165" s="5" t="b">
        <f t="shared" si="11"/>
        <v>1</v>
      </c>
      <c r="I165" s="5" t="b">
        <f t="shared" si="12"/>
        <v>1</v>
      </c>
      <c r="J165" s="5" t="b">
        <f t="shared" si="13"/>
        <v>1</v>
      </c>
    </row>
    <row r="166" spans="3:10">
      <c r="C166" s="5">
        <v>0</v>
      </c>
      <c r="D166" s="5">
        <v>0</v>
      </c>
      <c r="E166" s="5">
        <v>0</v>
      </c>
      <c r="F166" s="5">
        <v>0</v>
      </c>
      <c r="G166" s="5" t="b">
        <f t="shared" si="10"/>
        <v>1</v>
      </c>
      <c r="H166" s="5" t="b">
        <f t="shared" si="11"/>
        <v>1</v>
      </c>
      <c r="I166" s="5" t="b">
        <f t="shared" si="12"/>
        <v>1</v>
      </c>
      <c r="J166" s="5" t="b">
        <f t="shared" si="13"/>
        <v>1</v>
      </c>
    </row>
    <row r="167" spans="3:10">
      <c r="C167" s="5">
        <v>0</v>
      </c>
      <c r="D167" s="5">
        <v>0</v>
      </c>
      <c r="E167" s="5">
        <v>0</v>
      </c>
      <c r="F167" s="5">
        <v>0</v>
      </c>
      <c r="G167" s="5" t="b">
        <f t="shared" si="10"/>
        <v>1</v>
      </c>
      <c r="H167" s="5" t="b">
        <f t="shared" si="11"/>
        <v>1</v>
      </c>
      <c r="I167" s="5" t="b">
        <f t="shared" si="12"/>
        <v>1</v>
      </c>
      <c r="J167" s="5" t="b">
        <f t="shared" si="13"/>
        <v>1</v>
      </c>
    </row>
    <row r="168" spans="3:10">
      <c r="C168" s="5">
        <v>0</v>
      </c>
      <c r="D168" s="5">
        <v>0</v>
      </c>
      <c r="E168" s="5">
        <v>0</v>
      </c>
      <c r="F168" s="5">
        <v>0</v>
      </c>
      <c r="G168" s="5" t="b">
        <f t="shared" si="10"/>
        <v>1</v>
      </c>
      <c r="H168" s="5" t="b">
        <f t="shared" si="11"/>
        <v>1</v>
      </c>
      <c r="I168" s="5" t="b">
        <f t="shared" si="12"/>
        <v>1</v>
      </c>
      <c r="J168" s="5" t="b">
        <f t="shared" si="13"/>
        <v>1</v>
      </c>
    </row>
    <row r="169" spans="3:10">
      <c r="C169" s="5">
        <v>0</v>
      </c>
      <c r="D169" s="5">
        <v>0</v>
      </c>
      <c r="E169" s="5">
        <v>0</v>
      </c>
      <c r="F169" s="5">
        <v>0</v>
      </c>
      <c r="G169" s="5" t="b">
        <f t="shared" si="10"/>
        <v>1</v>
      </c>
      <c r="H169" s="5" t="b">
        <f t="shared" si="11"/>
        <v>1</v>
      </c>
      <c r="I169" s="5" t="b">
        <f t="shared" si="12"/>
        <v>1</v>
      </c>
      <c r="J169" s="5" t="b">
        <f t="shared" si="13"/>
        <v>1</v>
      </c>
    </row>
    <row r="170" spans="3:10">
      <c r="C170" s="5">
        <v>0</v>
      </c>
      <c r="D170" s="5">
        <v>0</v>
      </c>
      <c r="E170" s="5">
        <v>0</v>
      </c>
      <c r="F170" s="5">
        <v>0</v>
      </c>
      <c r="G170" s="5" t="b">
        <f t="shared" si="10"/>
        <v>1</v>
      </c>
      <c r="H170" s="5" t="b">
        <f t="shared" si="11"/>
        <v>1</v>
      </c>
      <c r="I170" s="5" t="b">
        <f t="shared" si="12"/>
        <v>1</v>
      </c>
      <c r="J170" s="5" t="b">
        <f t="shared" si="13"/>
        <v>1</v>
      </c>
    </row>
    <row r="171" spans="3:10">
      <c r="C171" s="5">
        <v>0</v>
      </c>
      <c r="D171" s="5">
        <v>0</v>
      </c>
      <c r="E171" s="5">
        <v>0</v>
      </c>
      <c r="F171" s="5">
        <v>0</v>
      </c>
      <c r="G171" s="5" t="b">
        <f t="shared" si="10"/>
        <v>1</v>
      </c>
      <c r="H171" s="5" t="b">
        <f t="shared" si="11"/>
        <v>1</v>
      </c>
      <c r="I171" s="5" t="b">
        <f t="shared" si="12"/>
        <v>1</v>
      </c>
      <c r="J171" s="5" t="b">
        <f t="shared" si="13"/>
        <v>1</v>
      </c>
    </row>
    <row r="172" spans="3:10">
      <c r="C172" s="5">
        <v>0</v>
      </c>
      <c r="D172" s="5">
        <v>0</v>
      </c>
      <c r="E172" s="5">
        <v>0</v>
      </c>
      <c r="F172" s="5">
        <v>0</v>
      </c>
      <c r="G172" s="5" t="b">
        <f t="shared" si="10"/>
        <v>1</v>
      </c>
      <c r="H172" s="5" t="b">
        <f t="shared" si="11"/>
        <v>1</v>
      </c>
      <c r="I172" s="5" t="b">
        <f t="shared" si="12"/>
        <v>1</v>
      </c>
      <c r="J172" s="5" t="b">
        <f t="shared" si="13"/>
        <v>1</v>
      </c>
    </row>
    <row r="173" spans="3:10">
      <c r="C173" s="5">
        <v>0</v>
      </c>
      <c r="D173" s="5">
        <v>0</v>
      </c>
      <c r="E173" s="5">
        <v>0</v>
      </c>
      <c r="F173" s="5">
        <v>0</v>
      </c>
      <c r="G173" s="5" t="b">
        <f t="shared" si="10"/>
        <v>1</v>
      </c>
      <c r="H173" s="5" t="b">
        <f t="shared" si="11"/>
        <v>1</v>
      </c>
      <c r="I173" s="5" t="b">
        <f t="shared" si="12"/>
        <v>1</v>
      </c>
      <c r="J173" s="5" t="b">
        <f t="shared" si="13"/>
        <v>1</v>
      </c>
    </row>
    <row r="174" spans="3:10">
      <c r="C174" s="5">
        <v>0</v>
      </c>
      <c r="D174" s="5">
        <v>0</v>
      </c>
      <c r="E174" s="5">
        <v>0</v>
      </c>
      <c r="F174" s="5">
        <v>0</v>
      </c>
      <c r="G174" s="5" t="b">
        <f t="shared" si="10"/>
        <v>1</v>
      </c>
      <c r="H174" s="5" t="b">
        <f t="shared" si="11"/>
        <v>1</v>
      </c>
      <c r="I174" s="5" t="b">
        <f t="shared" si="12"/>
        <v>1</v>
      </c>
      <c r="J174" s="5" t="b">
        <f t="shared" si="13"/>
        <v>1</v>
      </c>
    </row>
    <row r="175" spans="3:10">
      <c r="C175" s="5">
        <v>0</v>
      </c>
      <c r="D175" s="5">
        <v>0</v>
      </c>
      <c r="E175" s="5">
        <v>0</v>
      </c>
      <c r="F175" s="5">
        <v>0</v>
      </c>
      <c r="G175" s="5" t="b">
        <f t="shared" si="10"/>
        <v>1</v>
      </c>
      <c r="H175" s="5" t="b">
        <f t="shared" si="11"/>
        <v>1</v>
      </c>
      <c r="I175" s="5" t="b">
        <f t="shared" si="12"/>
        <v>1</v>
      </c>
      <c r="J175" s="5" t="b">
        <f t="shared" si="13"/>
        <v>1</v>
      </c>
    </row>
    <row r="176" spans="3:10">
      <c r="C176" s="5">
        <v>0</v>
      </c>
      <c r="D176" s="5">
        <v>0</v>
      </c>
      <c r="E176" s="5">
        <v>0</v>
      </c>
      <c r="F176" s="5">
        <v>0</v>
      </c>
      <c r="G176" s="5" t="b">
        <f t="shared" si="10"/>
        <v>1</v>
      </c>
      <c r="H176" s="5" t="b">
        <f t="shared" si="11"/>
        <v>1</v>
      </c>
      <c r="I176" s="5" t="b">
        <f t="shared" si="12"/>
        <v>1</v>
      </c>
      <c r="J176" s="5" t="b">
        <f t="shared" si="13"/>
        <v>1</v>
      </c>
    </row>
    <row r="177" spans="3:10">
      <c r="C177" s="5">
        <v>0</v>
      </c>
      <c r="D177" s="5">
        <v>0</v>
      </c>
      <c r="E177" s="5">
        <v>0</v>
      </c>
      <c r="F177" s="5">
        <v>0</v>
      </c>
      <c r="G177" s="5" t="b">
        <f t="shared" si="10"/>
        <v>1</v>
      </c>
      <c r="H177" s="5" t="b">
        <f t="shared" si="11"/>
        <v>1</v>
      </c>
      <c r="I177" s="5" t="b">
        <f t="shared" si="12"/>
        <v>1</v>
      </c>
      <c r="J177" s="5" t="b">
        <f t="shared" si="13"/>
        <v>1</v>
      </c>
    </row>
    <row r="178" spans="3:10">
      <c r="C178" s="5">
        <v>0</v>
      </c>
      <c r="D178" s="5">
        <v>0</v>
      </c>
      <c r="E178" s="5">
        <v>0</v>
      </c>
      <c r="F178" s="5">
        <v>0</v>
      </c>
      <c r="G178" s="5" t="b">
        <f t="shared" si="10"/>
        <v>1</v>
      </c>
      <c r="H178" s="5" t="b">
        <f t="shared" si="11"/>
        <v>1</v>
      </c>
      <c r="I178" s="5" t="b">
        <f t="shared" si="12"/>
        <v>1</v>
      </c>
      <c r="J178" s="5" t="b">
        <f t="shared" si="13"/>
        <v>1</v>
      </c>
    </row>
    <row r="179" spans="3:10">
      <c r="C179" s="5">
        <v>0</v>
      </c>
      <c r="D179" s="5">
        <v>0</v>
      </c>
      <c r="E179" s="5">
        <v>0</v>
      </c>
      <c r="F179" s="5">
        <v>0</v>
      </c>
      <c r="G179" s="5" t="b">
        <f t="shared" si="10"/>
        <v>1</v>
      </c>
      <c r="H179" s="5" t="b">
        <f t="shared" si="11"/>
        <v>1</v>
      </c>
      <c r="I179" s="5" t="b">
        <f t="shared" si="12"/>
        <v>1</v>
      </c>
      <c r="J179" s="5" t="b">
        <f t="shared" si="13"/>
        <v>1</v>
      </c>
    </row>
    <row r="180" spans="3:10">
      <c r="C180" s="5">
        <v>0</v>
      </c>
      <c r="D180" s="5">
        <v>0</v>
      </c>
      <c r="E180" s="5">
        <v>0</v>
      </c>
      <c r="F180" s="5">
        <v>0</v>
      </c>
      <c r="G180" s="5" t="b">
        <f t="shared" si="10"/>
        <v>1</v>
      </c>
      <c r="H180" s="5" t="b">
        <f t="shared" si="11"/>
        <v>1</v>
      </c>
      <c r="I180" s="5" t="b">
        <f t="shared" si="12"/>
        <v>1</v>
      </c>
      <c r="J180" s="5" t="b">
        <f t="shared" si="13"/>
        <v>1</v>
      </c>
    </row>
    <row r="181" spans="3:10">
      <c r="C181" s="5">
        <v>0</v>
      </c>
      <c r="D181" s="5">
        <v>0</v>
      </c>
      <c r="E181" s="5">
        <v>0</v>
      </c>
      <c r="F181" s="5">
        <v>0</v>
      </c>
      <c r="G181" s="5" t="b">
        <f t="shared" si="10"/>
        <v>1</v>
      </c>
      <c r="H181" s="5" t="b">
        <f t="shared" si="11"/>
        <v>1</v>
      </c>
      <c r="I181" s="5" t="b">
        <f t="shared" si="12"/>
        <v>1</v>
      </c>
      <c r="J181" s="5" t="b">
        <f t="shared" si="13"/>
        <v>1</v>
      </c>
    </row>
    <row r="182" spans="3:10">
      <c r="C182" s="5">
        <v>0</v>
      </c>
      <c r="D182" s="5">
        <v>0</v>
      </c>
      <c r="E182" s="5">
        <v>0</v>
      </c>
      <c r="F182" s="5">
        <v>0</v>
      </c>
      <c r="G182" s="5" t="b">
        <f t="shared" si="10"/>
        <v>1</v>
      </c>
      <c r="H182" s="5" t="b">
        <f t="shared" si="11"/>
        <v>1</v>
      </c>
      <c r="I182" s="5" t="b">
        <f t="shared" si="12"/>
        <v>1</v>
      </c>
      <c r="J182" s="5" t="b">
        <f t="shared" si="13"/>
        <v>1</v>
      </c>
    </row>
    <row r="183" spans="3:10">
      <c r="C183" s="5">
        <v>0</v>
      </c>
      <c r="D183" s="5">
        <v>0</v>
      </c>
      <c r="E183" s="5">
        <v>0</v>
      </c>
      <c r="F183" s="5">
        <v>0</v>
      </c>
      <c r="G183" s="5" t="b">
        <f t="shared" si="10"/>
        <v>1</v>
      </c>
      <c r="H183" s="5" t="b">
        <f t="shared" si="11"/>
        <v>1</v>
      </c>
      <c r="I183" s="5" t="b">
        <f t="shared" si="12"/>
        <v>1</v>
      </c>
      <c r="J183" s="5" t="b">
        <f t="shared" si="13"/>
        <v>1</v>
      </c>
    </row>
    <row r="184" spans="3:10">
      <c r="C184" s="5">
        <v>0</v>
      </c>
      <c r="D184" s="5">
        <v>0</v>
      </c>
      <c r="E184" s="5">
        <v>0</v>
      </c>
      <c r="F184" s="5">
        <v>0</v>
      </c>
      <c r="G184" s="5" t="b">
        <f t="shared" si="10"/>
        <v>1</v>
      </c>
      <c r="H184" s="5" t="b">
        <f t="shared" si="11"/>
        <v>1</v>
      </c>
      <c r="I184" s="5" t="b">
        <f t="shared" si="12"/>
        <v>1</v>
      </c>
      <c r="J184" s="5" t="b">
        <f t="shared" si="13"/>
        <v>1</v>
      </c>
    </row>
    <row r="185" spans="3:10">
      <c r="C185" s="5">
        <v>0</v>
      </c>
      <c r="D185" s="5">
        <v>0</v>
      </c>
      <c r="E185" s="5">
        <v>0</v>
      </c>
      <c r="F185" s="5">
        <v>0</v>
      </c>
      <c r="G185" s="5" t="b">
        <f t="shared" si="10"/>
        <v>1</v>
      </c>
      <c r="H185" s="5" t="b">
        <f t="shared" si="11"/>
        <v>1</v>
      </c>
      <c r="I185" s="5" t="b">
        <f t="shared" si="12"/>
        <v>1</v>
      </c>
      <c r="J185" s="5" t="b">
        <f t="shared" si="13"/>
        <v>1</v>
      </c>
    </row>
    <row r="186" spans="3:10">
      <c r="C186" s="5">
        <v>0</v>
      </c>
      <c r="D186" s="5">
        <v>0</v>
      </c>
      <c r="E186" s="5">
        <v>0</v>
      </c>
      <c r="F186" s="5">
        <v>0</v>
      </c>
      <c r="G186" s="5" t="b">
        <f t="shared" si="10"/>
        <v>1</v>
      </c>
      <c r="H186" s="5" t="b">
        <f t="shared" si="11"/>
        <v>1</v>
      </c>
      <c r="I186" s="5" t="b">
        <f t="shared" si="12"/>
        <v>1</v>
      </c>
      <c r="J186" s="5" t="b">
        <f t="shared" si="13"/>
        <v>1</v>
      </c>
    </row>
    <row r="187" spans="3:10">
      <c r="C187" s="5">
        <v>0</v>
      </c>
      <c r="D187" s="5">
        <v>0</v>
      </c>
      <c r="E187" s="5">
        <v>0</v>
      </c>
      <c r="F187" s="5">
        <v>0</v>
      </c>
      <c r="G187" s="5" t="b">
        <f t="shared" si="10"/>
        <v>1</v>
      </c>
      <c r="H187" s="5" t="b">
        <f t="shared" si="11"/>
        <v>1</v>
      </c>
      <c r="I187" s="5" t="b">
        <f t="shared" si="12"/>
        <v>1</v>
      </c>
      <c r="J187" s="5" t="b">
        <f t="shared" si="13"/>
        <v>1</v>
      </c>
    </row>
    <row r="188" spans="3:10">
      <c r="C188" s="5">
        <v>0</v>
      </c>
      <c r="D188" s="5">
        <v>0</v>
      </c>
      <c r="E188" s="5">
        <v>0</v>
      </c>
      <c r="F188" s="5">
        <v>0</v>
      </c>
      <c r="G188" s="5" t="b">
        <f t="shared" si="10"/>
        <v>1</v>
      </c>
      <c r="H188" s="5" t="b">
        <f t="shared" si="11"/>
        <v>1</v>
      </c>
      <c r="I188" s="5" t="b">
        <f t="shared" si="12"/>
        <v>1</v>
      </c>
      <c r="J188" s="5" t="b">
        <f t="shared" si="13"/>
        <v>1</v>
      </c>
    </row>
    <row r="189" spans="3:10">
      <c r="C189" s="5">
        <v>0</v>
      </c>
      <c r="D189" s="5">
        <v>0</v>
      </c>
      <c r="E189" s="5">
        <v>0</v>
      </c>
      <c r="F189" s="5">
        <v>0</v>
      </c>
      <c r="G189" s="5" t="b">
        <f t="shared" si="10"/>
        <v>1</v>
      </c>
      <c r="H189" s="5" t="b">
        <f t="shared" si="11"/>
        <v>1</v>
      </c>
      <c r="I189" s="5" t="b">
        <f t="shared" si="12"/>
        <v>1</v>
      </c>
      <c r="J189" s="5" t="b">
        <f t="shared" si="13"/>
        <v>1</v>
      </c>
    </row>
    <row r="190" spans="3:10">
      <c r="C190" s="5">
        <v>0</v>
      </c>
      <c r="D190" s="5">
        <v>0</v>
      </c>
      <c r="E190" s="5">
        <v>0</v>
      </c>
      <c r="F190" s="5">
        <v>0</v>
      </c>
      <c r="G190" s="5" t="b">
        <f t="shared" si="10"/>
        <v>1</v>
      </c>
      <c r="H190" s="5" t="b">
        <f t="shared" si="11"/>
        <v>1</v>
      </c>
      <c r="I190" s="5" t="b">
        <f t="shared" si="12"/>
        <v>1</v>
      </c>
      <c r="J190" s="5" t="b">
        <f t="shared" si="13"/>
        <v>1</v>
      </c>
    </row>
    <row r="191" spans="3:10">
      <c r="C191" s="5">
        <v>0</v>
      </c>
      <c r="D191" s="5">
        <v>0</v>
      </c>
      <c r="E191" s="5">
        <v>0</v>
      </c>
      <c r="F191" s="5">
        <v>0</v>
      </c>
      <c r="G191" s="5" t="b">
        <f t="shared" si="10"/>
        <v>1</v>
      </c>
      <c r="H191" s="5" t="b">
        <f t="shared" si="11"/>
        <v>1</v>
      </c>
      <c r="I191" s="5" t="b">
        <f t="shared" si="12"/>
        <v>1</v>
      </c>
      <c r="J191" s="5" t="b">
        <f t="shared" si="13"/>
        <v>1</v>
      </c>
    </row>
    <row r="192" spans="3:10">
      <c r="C192" s="5">
        <v>0</v>
      </c>
      <c r="D192" s="5">
        <v>0</v>
      </c>
      <c r="E192" s="5">
        <v>0</v>
      </c>
      <c r="F192" s="5">
        <v>0</v>
      </c>
      <c r="G192" s="5" t="b">
        <f t="shared" si="10"/>
        <v>1</v>
      </c>
      <c r="H192" s="5" t="b">
        <f t="shared" si="11"/>
        <v>1</v>
      </c>
      <c r="I192" s="5" t="b">
        <f t="shared" si="12"/>
        <v>1</v>
      </c>
      <c r="J192" s="5" t="b">
        <f t="shared" si="13"/>
        <v>1</v>
      </c>
    </row>
    <row r="193" spans="3:10">
      <c r="C193" s="5">
        <v>0</v>
      </c>
      <c r="D193" s="5">
        <v>0</v>
      </c>
      <c r="E193" s="5">
        <v>0</v>
      </c>
      <c r="F193" s="5">
        <v>0</v>
      </c>
      <c r="G193" s="5" t="b">
        <f t="shared" si="10"/>
        <v>1</v>
      </c>
      <c r="H193" s="5" t="b">
        <f t="shared" si="11"/>
        <v>1</v>
      </c>
      <c r="I193" s="5" t="b">
        <f t="shared" si="12"/>
        <v>1</v>
      </c>
      <c r="J193" s="5" t="b">
        <f t="shared" si="13"/>
        <v>1</v>
      </c>
    </row>
    <row r="194" spans="3:10">
      <c r="C194" s="5">
        <v>0</v>
      </c>
      <c r="D194" s="5">
        <v>0</v>
      </c>
      <c r="E194" s="5">
        <v>0</v>
      </c>
      <c r="F194" s="5">
        <v>0</v>
      </c>
      <c r="G194" s="5" t="b">
        <f t="shared" si="10"/>
        <v>1</v>
      </c>
      <c r="H194" s="5" t="b">
        <f t="shared" si="11"/>
        <v>1</v>
      </c>
      <c r="I194" s="5" t="b">
        <f t="shared" si="12"/>
        <v>1</v>
      </c>
      <c r="J194" s="5" t="b">
        <f t="shared" si="13"/>
        <v>1</v>
      </c>
    </row>
    <row r="195" spans="3:10">
      <c r="C195" s="5">
        <v>0</v>
      </c>
      <c r="D195" s="5">
        <v>0</v>
      </c>
      <c r="E195" s="5">
        <v>0</v>
      </c>
      <c r="F195" s="5">
        <v>0</v>
      </c>
      <c r="G195" s="5" t="b">
        <f t="shared" si="10"/>
        <v>1</v>
      </c>
      <c r="H195" s="5" t="b">
        <f t="shared" si="11"/>
        <v>1</v>
      </c>
      <c r="I195" s="5" t="b">
        <f t="shared" si="12"/>
        <v>1</v>
      </c>
      <c r="J195" s="5" t="b">
        <f t="shared" si="13"/>
        <v>1</v>
      </c>
    </row>
    <row r="196" spans="3:10">
      <c r="C196" s="5">
        <v>0</v>
      </c>
      <c r="D196" s="5">
        <v>0</v>
      </c>
      <c r="E196" s="5">
        <v>0</v>
      </c>
      <c r="F196" s="5">
        <v>0</v>
      </c>
      <c r="G196" s="5" t="b">
        <f t="shared" si="10"/>
        <v>1</v>
      </c>
      <c r="H196" s="5" t="b">
        <f t="shared" si="11"/>
        <v>1</v>
      </c>
      <c r="I196" s="5" t="b">
        <f t="shared" si="12"/>
        <v>1</v>
      </c>
      <c r="J196" s="5" t="b">
        <f t="shared" si="13"/>
        <v>1</v>
      </c>
    </row>
    <row r="197" spans="3:10">
      <c r="C197" s="5">
        <v>0</v>
      </c>
      <c r="D197" s="5">
        <v>0</v>
      </c>
      <c r="E197" s="5">
        <v>0</v>
      </c>
      <c r="F197" s="5">
        <v>0</v>
      </c>
      <c r="G197" s="5" t="b">
        <f t="shared" ref="G197:G220" si="14">ISNUMBER(C197)</f>
        <v>1</v>
      </c>
      <c r="H197" s="5" t="b">
        <f t="shared" ref="H197:H220" si="15">ISNUMBER(D197)</f>
        <v>1</v>
      </c>
      <c r="I197" s="5" t="b">
        <f t="shared" ref="I197:I220" si="16">ISNUMBER(E197)</f>
        <v>1</v>
      </c>
      <c r="J197" s="5" t="b">
        <f t="shared" ref="J197:J220" si="17">ISNUMBER(F197)</f>
        <v>1</v>
      </c>
    </row>
    <row r="198" spans="3:10">
      <c r="C198" s="5">
        <v>0</v>
      </c>
      <c r="D198" s="5">
        <v>0</v>
      </c>
      <c r="E198" s="5">
        <v>0</v>
      </c>
      <c r="F198" s="5">
        <v>0</v>
      </c>
      <c r="G198" s="5" t="b">
        <f t="shared" si="14"/>
        <v>1</v>
      </c>
      <c r="H198" s="5" t="b">
        <f t="shared" si="15"/>
        <v>1</v>
      </c>
      <c r="I198" s="5" t="b">
        <f t="shared" si="16"/>
        <v>1</v>
      </c>
      <c r="J198" s="5" t="b">
        <f t="shared" si="17"/>
        <v>1</v>
      </c>
    </row>
    <row r="199" spans="3:10">
      <c r="C199" s="5">
        <v>0</v>
      </c>
      <c r="D199" s="5">
        <v>0</v>
      </c>
      <c r="E199" s="5">
        <v>0</v>
      </c>
      <c r="F199" s="5">
        <v>0</v>
      </c>
      <c r="G199" s="5" t="b">
        <f t="shared" si="14"/>
        <v>1</v>
      </c>
      <c r="H199" s="5" t="b">
        <f t="shared" si="15"/>
        <v>1</v>
      </c>
      <c r="I199" s="5" t="b">
        <f t="shared" si="16"/>
        <v>1</v>
      </c>
      <c r="J199" s="5" t="b">
        <f t="shared" si="17"/>
        <v>1</v>
      </c>
    </row>
    <row r="200" spans="3:10">
      <c r="C200" s="5">
        <v>0</v>
      </c>
      <c r="D200" s="5">
        <v>0</v>
      </c>
      <c r="E200" s="5">
        <v>0</v>
      </c>
      <c r="F200" s="5">
        <v>0</v>
      </c>
      <c r="G200" s="5" t="b">
        <f t="shared" si="14"/>
        <v>1</v>
      </c>
      <c r="H200" s="5" t="b">
        <f t="shared" si="15"/>
        <v>1</v>
      </c>
      <c r="I200" s="5" t="b">
        <f t="shared" si="16"/>
        <v>1</v>
      </c>
      <c r="J200" s="5" t="b">
        <f t="shared" si="17"/>
        <v>1</v>
      </c>
    </row>
    <row r="201" spans="3:10">
      <c r="C201" s="5">
        <v>0</v>
      </c>
      <c r="D201" s="5">
        <v>0</v>
      </c>
      <c r="E201" s="5">
        <v>0</v>
      </c>
      <c r="F201" s="5">
        <v>0</v>
      </c>
      <c r="G201" s="5" t="b">
        <f t="shared" si="14"/>
        <v>1</v>
      </c>
      <c r="H201" s="5" t="b">
        <f t="shared" si="15"/>
        <v>1</v>
      </c>
      <c r="I201" s="5" t="b">
        <f t="shared" si="16"/>
        <v>1</v>
      </c>
      <c r="J201" s="5" t="b">
        <f t="shared" si="17"/>
        <v>1</v>
      </c>
    </row>
    <row r="202" spans="3:10">
      <c r="C202" s="5">
        <v>0</v>
      </c>
      <c r="D202" s="5">
        <v>0</v>
      </c>
      <c r="E202" s="5">
        <v>0</v>
      </c>
      <c r="F202" s="5">
        <v>0</v>
      </c>
      <c r="G202" s="5" t="b">
        <f t="shared" si="14"/>
        <v>1</v>
      </c>
      <c r="H202" s="5" t="b">
        <f t="shared" si="15"/>
        <v>1</v>
      </c>
      <c r="I202" s="5" t="b">
        <f t="shared" si="16"/>
        <v>1</v>
      </c>
      <c r="J202" s="5" t="b">
        <f t="shared" si="17"/>
        <v>1</v>
      </c>
    </row>
    <row r="203" spans="3:10">
      <c r="C203" s="5">
        <v>0</v>
      </c>
      <c r="D203" s="5">
        <v>0</v>
      </c>
      <c r="E203" s="5">
        <v>0</v>
      </c>
      <c r="F203" s="5">
        <v>0</v>
      </c>
      <c r="G203" s="5" t="b">
        <f t="shared" si="14"/>
        <v>1</v>
      </c>
      <c r="H203" s="5" t="b">
        <f t="shared" si="15"/>
        <v>1</v>
      </c>
      <c r="I203" s="5" t="b">
        <f t="shared" si="16"/>
        <v>1</v>
      </c>
      <c r="J203" s="5" t="b">
        <f t="shared" si="17"/>
        <v>1</v>
      </c>
    </row>
    <row r="204" spans="3:10">
      <c r="C204" s="5">
        <v>0</v>
      </c>
      <c r="D204" s="5">
        <v>0</v>
      </c>
      <c r="E204" s="5">
        <v>0</v>
      </c>
      <c r="F204" s="5">
        <v>0</v>
      </c>
      <c r="G204" s="5" t="b">
        <f t="shared" si="14"/>
        <v>1</v>
      </c>
      <c r="H204" s="5" t="b">
        <f t="shared" si="15"/>
        <v>1</v>
      </c>
      <c r="I204" s="5" t="b">
        <f t="shared" si="16"/>
        <v>1</v>
      </c>
      <c r="J204" s="5" t="b">
        <f t="shared" si="17"/>
        <v>1</v>
      </c>
    </row>
    <row r="205" spans="3:10">
      <c r="C205" s="5">
        <v>0</v>
      </c>
      <c r="D205" s="5">
        <v>0</v>
      </c>
      <c r="E205" s="5">
        <v>0</v>
      </c>
      <c r="F205" s="5">
        <v>0</v>
      </c>
      <c r="G205" s="5" t="b">
        <f t="shared" si="14"/>
        <v>1</v>
      </c>
      <c r="H205" s="5" t="b">
        <f t="shared" si="15"/>
        <v>1</v>
      </c>
      <c r="I205" s="5" t="b">
        <f t="shared" si="16"/>
        <v>1</v>
      </c>
      <c r="J205" s="5" t="b">
        <f t="shared" si="17"/>
        <v>1</v>
      </c>
    </row>
    <row r="206" spans="3:10">
      <c r="C206" s="5">
        <v>0</v>
      </c>
      <c r="D206" s="5">
        <v>0</v>
      </c>
      <c r="E206" s="5">
        <v>0</v>
      </c>
      <c r="F206" s="5">
        <v>0</v>
      </c>
      <c r="G206" s="5" t="b">
        <f t="shared" si="14"/>
        <v>1</v>
      </c>
      <c r="H206" s="5" t="b">
        <f t="shared" si="15"/>
        <v>1</v>
      </c>
      <c r="I206" s="5" t="b">
        <f t="shared" si="16"/>
        <v>1</v>
      </c>
      <c r="J206" s="5" t="b">
        <f t="shared" si="17"/>
        <v>1</v>
      </c>
    </row>
    <row r="207" spans="3:10">
      <c r="C207" s="5">
        <v>0</v>
      </c>
      <c r="D207" s="5">
        <v>0</v>
      </c>
      <c r="E207" s="5">
        <v>0</v>
      </c>
      <c r="F207" s="5">
        <v>0</v>
      </c>
      <c r="G207" s="5" t="b">
        <f t="shared" si="14"/>
        <v>1</v>
      </c>
      <c r="H207" s="5" t="b">
        <f t="shared" si="15"/>
        <v>1</v>
      </c>
      <c r="I207" s="5" t="b">
        <f t="shared" si="16"/>
        <v>1</v>
      </c>
      <c r="J207" s="5" t="b">
        <f t="shared" si="17"/>
        <v>1</v>
      </c>
    </row>
    <row r="208" spans="3:10">
      <c r="C208" s="5">
        <v>0</v>
      </c>
      <c r="D208" s="5">
        <v>0</v>
      </c>
      <c r="E208" s="5">
        <v>0</v>
      </c>
      <c r="F208" s="5">
        <v>0</v>
      </c>
      <c r="G208" s="5" t="b">
        <f t="shared" si="14"/>
        <v>1</v>
      </c>
      <c r="H208" s="5" t="b">
        <f t="shared" si="15"/>
        <v>1</v>
      </c>
      <c r="I208" s="5" t="b">
        <f t="shared" si="16"/>
        <v>1</v>
      </c>
      <c r="J208" s="5" t="b">
        <f t="shared" si="17"/>
        <v>1</v>
      </c>
    </row>
    <row r="209" spans="3:10">
      <c r="C209" s="5">
        <v>0</v>
      </c>
      <c r="D209" s="5">
        <v>0</v>
      </c>
      <c r="E209" s="5">
        <v>0</v>
      </c>
      <c r="F209" s="5">
        <v>0</v>
      </c>
      <c r="G209" s="5" t="b">
        <f t="shared" si="14"/>
        <v>1</v>
      </c>
      <c r="H209" s="5" t="b">
        <f t="shared" si="15"/>
        <v>1</v>
      </c>
      <c r="I209" s="5" t="b">
        <f t="shared" si="16"/>
        <v>1</v>
      </c>
      <c r="J209" s="5" t="b">
        <f t="shared" si="17"/>
        <v>1</v>
      </c>
    </row>
    <row r="210" spans="3:10">
      <c r="C210" s="5">
        <v>0</v>
      </c>
      <c r="D210" s="5">
        <v>0</v>
      </c>
      <c r="E210" s="5">
        <v>0</v>
      </c>
      <c r="F210" s="5">
        <v>0</v>
      </c>
      <c r="G210" s="5" t="b">
        <f t="shared" si="14"/>
        <v>1</v>
      </c>
      <c r="H210" s="5" t="b">
        <f t="shared" si="15"/>
        <v>1</v>
      </c>
      <c r="I210" s="5" t="b">
        <f t="shared" si="16"/>
        <v>1</v>
      </c>
      <c r="J210" s="5" t="b">
        <f t="shared" si="17"/>
        <v>1</v>
      </c>
    </row>
    <row r="211" spans="3:10">
      <c r="C211" s="5">
        <v>0</v>
      </c>
      <c r="D211" s="5">
        <v>0</v>
      </c>
      <c r="E211" s="5">
        <v>0</v>
      </c>
      <c r="F211" s="5">
        <v>0</v>
      </c>
      <c r="G211" s="5" t="b">
        <f t="shared" si="14"/>
        <v>1</v>
      </c>
      <c r="H211" s="5" t="b">
        <f t="shared" si="15"/>
        <v>1</v>
      </c>
      <c r="I211" s="5" t="b">
        <f t="shared" si="16"/>
        <v>1</v>
      </c>
      <c r="J211" s="5" t="b">
        <f t="shared" si="17"/>
        <v>1</v>
      </c>
    </row>
    <row r="212" spans="3:10">
      <c r="C212" s="5">
        <v>0</v>
      </c>
      <c r="D212" s="5">
        <v>0</v>
      </c>
      <c r="E212" s="5">
        <v>0</v>
      </c>
      <c r="F212" s="5">
        <v>0</v>
      </c>
      <c r="G212" s="5" t="b">
        <f t="shared" si="14"/>
        <v>1</v>
      </c>
      <c r="H212" s="5" t="b">
        <f t="shared" si="15"/>
        <v>1</v>
      </c>
      <c r="I212" s="5" t="b">
        <f t="shared" si="16"/>
        <v>1</v>
      </c>
      <c r="J212" s="5" t="b">
        <f t="shared" si="17"/>
        <v>1</v>
      </c>
    </row>
    <row r="213" spans="3:10">
      <c r="C213" s="5">
        <v>0</v>
      </c>
      <c r="D213" s="5">
        <v>0</v>
      </c>
      <c r="E213" s="5">
        <v>0</v>
      </c>
      <c r="F213" s="5">
        <v>0</v>
      </c>
      <c r="G213" s="5" t="b">
        <f t="shared" si="14"/>
        <v>1</v>
      </c>
      <c r="H213" s="5" t="b">
        <f t="shared" si="15"/>
        <v>1</v>
      </c>
      <c r="I213" s="5" t="b">
        <f t="shared" si="16"/>
        <v>1</v>
      </c>
      <c r="J213" s="5" t="b">
        <f t="shared" si="17"/>
        <v>1</v>
      </c>
    </row>
    <row r="214" spans="3:10">
      <c r="C214" s="5">
        <v>0</v>
      </c>
      <c r="D214" s="5">
        <v>0</v>
      </c>
      <c r="E214" s="5">
        <v>0</v>
      </c>
      <c r="F214" s="5">
        <v>0</v>
      </c>
      <c r="G214" s="5" t="b">
        <f t="shared" si="14"/>
        <v>1</v>
      </c>
      <c r="H214" s="5" t="b">
        <f t="shared" si="15"/>
        <v>1</v>
      </c>
      <c r="I214" s="5" t="b">
        <f t="shared" si="16"/>
        <v>1</v>
      </c>
      <c r="J214" s="5" t="b">
        <f t="shared" si="17"/>
        <v>1</v>
      </c>
    </row>
    <row r="215" spans="3:10">
      <c r="C215" s="5">
        <v>0</v>
      </c>
      <c r="D215" s="5">
        <v>0</v>
      </c>
      <c r="E215" s="5">
        <v>0</v>
      </c>
      <c r="F215" s="5">
        <v>0</v>
      </c>
      <c r="G215" s="5" t="b">
        <f t="shared" si="14"/>
        <v>1</v>
      </c>
      <c r="H215" s="5" t="b">
        <f t="shared" si="15"/>
        <v>1</v>
      </c>
      <c r="I215" s="5" t="b">
        <f t="shared" si="16"/>
        <v>1</v>
      </c>
      <c r="J215" s="5" t="b">
        <f t="shared" si="17"/>
        <v>1</v>
      </c>
    </row>
    <row r="216" spans="3:10">
      <c r="C216" s="5">
        <v>0</v>
      </c>
      <c r="D216" s="5">
        <v>0</v>
      </c>
      <c r="E216" s="5">
        <v>0</v>
      </c>
      <c r="F216" s="5">
        <v>0</v>
      </c>
      <c r="G216" s="5" t="b">
        <f t="shared" si="14"/>
        <v>1</v>
      </c>
      <c r="H216" s="5" t="b">
        <f t="shared" si="15"/>
        <v>1</v>
      </c>
      <c r="I216" s="5" t="b">
        <f t="shared" si="16"/>
        <v>1</v>
      </c>
      <c r="J216" s="5" t="b">
        <f t="shared" si="17"/>
        <v>1</v>
      </c>
    </row>
    <row r="217" spans="3:10">
      <c r="C217" s="5">
        <v>0</v>
      </c>
      <c r="D217" s="5">
        <v>0</v>
      </c>
      <c r="E217" s="5">
        <v>0</v>
      </c>
      <c r="F217" s="5">
        <v>0</v>
      </c>
      <c r="G217" s="5" t="b">
        <f t="shared" si="14"/>
        <v>1</v>
      </c>
      <c r="H217" s="5" t="b">
        <f t="shared" si="15"/>
        <v>1</v>
      </c>
      <c r="I217" s="5" t="b">
        <f t="shared" si="16"/>
        <v>1</v>
      </c>
      <c r="J217" s="5" t="b">
        <f t="shared" si="17"/>
        <v>1</v>
      </c>
    </row>
    <row r="218" spans="3:10">
      <c r="C218" s="5">
        <v>0</v>
      </c>
      <c r="D218" s="5">
        <v>0</v>
      </c>
      <c r="E218" s="5">
        <v>0</v>
      </c>
      <c r="F218" s="5">
        <v>0</v>
      </c>
      <c r="G218" s="5" t="b">
        <f t="shared" si="14"/>
        <v>1</v>
      </c>
      <c r="H218" s="5" t="b">
        <f t="shared" si="15"/>
        <v>1</v>
      </c>
      <c r="I218" s="5" t="b">
        <f t="shared" si="16"/>
        <v>1</v>
      </c>
      <c r="J218" s="5" t="b">
        <f t="shared" si="17"/>
        <v>1</v>
      </c>
    </row>
    <row r="219" spans="3:10">
      <c r="C219" s="5">
        <v>0</v>
      </c>
      <c r="D219" s="5">
        <v>0</v>
      </c>
      <c r="E219" s="5">
        <v>0</v>
      </c>
      <c r="F219" s="5">
        <v>0</v>
      </c>
      <c r="G219" s="5" t="b">
        <f t="shared" si="14"/>
        <v>1</v>
      </c>
      <c r="H219" s="5" t="b">
        <f t="shared" si="15"/>
        <v>1</v>
      </c>
      <c r="I219" s="5" t="b">
        <f t="shared" si="16"/>
        <v>1</v>
      </c>
      <c r="J219" s="5" t="b">
        <f t="shared" si="17"/>
        <v>1</v>
      </c>
    </row>
    <row r="220" spans="3:10">
      <c r="C220" s="5">
        <v>0</v>
      </c>
      <c r="D220" s="5">
        <v>0</v>
      </c>
      <c r="E220" s="5">
        <v>0</v>
      </c>
      <c r="F220" s="5">
        <v>0</v>
      </c>
      <c r="G220" s="5" t="b">
        <f t="shared" si="14"/>
        <v>1</v>
      </c>
      <c r="H220" s="5" t="b">
        <f t="shared" si="15"/>
        <v>1</v>
      </c>
      <c r="I220" s="5" t="b">
        <f t="shared" si="16"/>
        <v>1</v>
      </c>
      <c r="J220" s="5" t="b">
        <f t="shared" si="17"/>
        <v>1</v>
      </c>
    </row>
    <row r="229" spans="10:14">
      <c r="J229" s="5" t="s">
        <v>215</v>
      </c>
      <c r="K229" s="5" t="s">
        <v>119</v>
      </c>
      <c r="L229" s="5" t="s">
        <v>216</v>
      </c>
      <c r="M229" s="5" t="s">
        <v>217</v>
      </c>
      <c r="N229" s="5" t="s">
        <v>218</v>
      </c>
    </row>
    <row r="230" spans="10:14">
      <c r="J230" s="5" t="s">
        <v>219</v>
      </c>
      <c r="K230" s="5">
        <v>-500</v>
      </c>
      <c r="L230" s="5">
        <v>-10</v>
      </c>
      <c r="M230" s="5">
        <v>-10</v>
      </c>
      <c r="N230" s="5">
        <v>-100</v>
      </c>
    </row>
    <row r="231" spans="10:14">
      <c r="J231" s="5" t="s">
        <v>145</v>
      </c>
      <c r="K231" s="5">
        <v>-1000</v>
      </c>
      <c r="L231" s="5">
        <v>-20</v>
      </c>
      <c r="M231" s="5">
        <v>-200</v>
      </c>
      <c r="N231" s="5">
        <v>-200</v>
      </c>
    </row>
    <row r="232" spans="10:14">
      <c r="J232" s="5" t="s">
        <v>220</v>
      </c>
      <c r="K232" s="5">
        <v>-1000</v>
      </c>
      <c r="L232" s="5">
        <v>-20</v>
      </c>
      <c r="M232" s="5">
        <v>-200</v>
      </c>
      <c r="N232" s="5">
        <v>-200</v>
      </c>
    </row>
    <row r="233" spans="10:14">
      <c r="J233" s="5" t="s">
        <v>221</v>
      </c>
      <c r="K233" s="5">
        <v>-5000</v>
      </c>
      <c r="L233" s="5">
        <v>-100</v>
      </c>
      <c r="M233" s="5">
        <v>-1000</v>
      </c>
      <c r="N233" s="5">
        <v>-1000</v>
      </c>
    </row>
    <row r="234" spans="10:14">
      <c r="J234" s="5" t="s">
        <v>222</v>
      </c>
      <c r="K234" s="5">
        <v>-10000</v>
      </c>
      <c r="L234" s="5">
        <v>-200</v>
      </c>
      <c r="M234" s="5">
        <v>-2000</v>
      </c>
      <c r="N234" s="5">
        <v>-2000</v>
      </c>
    </row>
    <row r="235" spans="10:14">
      <c r="J235" s="5" t="s">
        <v>223</v>
      </c>
      <c r="K235" s="5">
        <v>-100000</v>
      </c>
      <c r="L235" s="5">
        <v>-2000</v>
      </c>
      <c r="M235" s="5">
        <v>-20000</v>
      </c>
      <c r="N235" s="5">
        <v>-20000</v>
      </c>
    </row>
    <row r="236" spans="10:14">
      <c r="J236" s="5" t="s">
        <v>224</v>
      </c>
      <c r="K236" s="5">
        <v>-100000</v>
      </c>
      <c r="L236" s="5">
        <v>-2000</v>
      </c>
      <c r="M236" s="5">
        <v>-20000</v>
      </c>
      <c r="N236" s="5">
        <v>-20000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1"/>
  <sheetViews>
    <sheetView workbookViewId="0">
      <selection activeCell="J6" sqref="J6"/>
    </sheetView>
  </sheetViews>
  <sheetFormatPr defaultRowHeight="15"/>
  <cols>
    <col min="1" max="1" width="13.140625" bestFit="1" customWidth="1"/>
    <col min="2" max="2" width="13.140625" customWidth="1"/>
    <col min="3" max="3" width="28.42578125" bestFit="1" customWidth="1"/>
    <col min="4" max="4" width="11.5703125" bestFit="1" customWidth="1"/>
    <col min="5" max="5" width="36.28515625" bestFit="1" customWidth="1"/>
    <col min="8" max="8" width="28.28515625" bestFit="1" customWidth="1"/>
    <col min="9" max="9" width="13.28515625" bestFit="1" customWidth="1"/>
    <col min="11" max="11" width="26.7109375" bestFit="1" customWidth="1"/>
  </cols>
  <sheetData>
    <row r="1" spans="1:11" ht="15.75">
      <c r="A1" s="4" t="s">
        <v>225</v>
      </c>
      <c r="B1" s="4"/>
      <c r="C1" s="4" t="s">
        <v>226</v>
      </c>
      <c r="D1" s="4"/>
      <c r="E1" s="4" t="s">
        <v>226</v>
      </c>
      <c r="F1" s="4"/>
      <c r="H1" s="2" t="s">
        <v>227</v>
      </c>
      <c r="I1" s="2" t="s">
        <v>228</v>
      </c>
      <c r="K1" s="2" t="s">
        <v>229</v>
      </c>
    </row>
    <row r="2" spans="1:11" ht="15.75">
      <c r="A2" s="27" t="s">
        <v>230</v>
      </c>
      <c r="B2" s="27"/>
      <c r="C2" s="27" t="s">
        <v>231</v>
      </c>
      <c r="D2" s="4"/>
      <c r="E2" s="4"/>
      <c r="F2" s="4"/>
      <c r="H2" t="s">
        <v>232</v>
      </c>
      <c r="I2" t="s">
        <v>233</v>
      </c>
      <c r="K2" t="s">
        <v>234</v>
      </c>
    </row>
    <row r="3" spans="1:11">
      <c r="A3" t="s">
        <v>53</v>
      </c>
      <c r="B3" t="s">
        <v>208</v>
      </c>
      <c r="C3" t="s">
        <v>194</v>
      </c>
      <c r="H3" t="s">
        <v>235</v>
      </c>
      <c r="K3" t="s">
        <v>204</v>
      </c>
    </row>
    <row r="4" spans="1:11">
      <c r="A4" t="s">
        <v>54</v>
      </c>
      <c r="B4" t="s">
        <v>208</v>
      </c>
      <c r="C4" t="s">
        <v>198</v>
      </c>
      <c r="H4" t="s">
        <v>236</v>
      </c>
      <c r="I4" t="s">
        <v>237</v>
      </c>
      <c r="K4" t="s">
        <v>128</v>
      </c>
    </row>
    <row r="5" spans="1:11">
      <c r="A5" t="s">
        <v>55</v>
      </c>
      <c r="B5" t="s">
        <v>208</v>
      </c>
      <c r="C5" t="s">
        <v>202</v>
      </c>
      <c r="H5" t="s">
        <v>238</v>
      </c>
      <c r="I5" t="s">
        <v>239</v>
      </c>
    </row>
    <row r="6" spans="1:11">
      <c r="A6" t="s">
        <v>56</v>
      </c>
      <c r="B6" t="s">
        <v>208</v>
      </c>
      <c r="C6" s="5" t="s">
        <v>204</v>
      </c>
      <c r="H6" t="s">
        <v>240</v>
      </c>
      <c r="I6" t="s">
        <v>239</v>
      </c>
    </row>
    <row r="7" spans="1:11">
      <c r="A7" t="s">
        <v>57</v>
      </c>
      <c r="B7" t="s">
        <v>208</v>
      </c>
      <c r="C7" t="s">
        <v>207</v>
      </c>
    </row>
    <row r="8" spans="1:11">
      <c r="A8" t="s">
        <v>58</v>
      </c>
      <c r="B8" t="s">
        <v>208</v>
      </c>
      <c r="C8" s="5" t="s">
        <v>128</v>
      </c>
    </row>
    <row r="9" spans="1:11">
      <c r="C9" s="5"/>
    </row>
    <row r="10" spans="1:11">
      <c r="A10" t="s">
        <v>59</v>
      </c>
      <c r="B10" t="s">
        <v>208</v>
      </c>
      <c r="C10" s="5" t="s">
        <v>210</v>
      </c>
    </row>
    <row r="11" spans="1:11">
      <c r="B11" t="s">
        <v>241</v>
      </c>
      <c r="C11" s="5" t="s">
        <v>212</v>
      </c>
    </row>
    <row r="12" spans="1:11">
      <c r="A12" t="s">
        <v>60</v>
      </c>
      <c r="B12" s="5" t="s">
        <v>208</v>
      </c>
      <c r="C12" s="5"/>
      <c r="D12" s="5" t="s">
        <v>213</v>
      </c>
      <c r="E12" s="5"/>
    </row>
    <row r="13" spans="1:11">
      <c r="B13" s="5" t="s">
        <v>241</v>
      </c>
      <c r="C13" s="5"/>
      <c r="D13" s="5" t="s">
        <v>214</v>
      </c>
      <c r="E13" s="5"/>
    </row>
    <row r="14" spans="1:11">
      <c r="A14" t="s">
        <v>61</v>
      </c>
      <c r="B14" s="5" t="s">
        <v>208</v>
      </c>
      <c r="C14" s="5"/>
      <c r="D14" s="5"/>
      <c r="E14" s="5"/>
    </row>
    <row r="15" spans="1:11">
      <c r="B15" s="5" t="s">
        <v>241</v>
      </c>
      <c r="C15" s="5"/>
      <c r="D15" s="5"/>
      <c r="E15" s="5"/>
    </row>
    <row r="16" spans="1:11">
      <c r="B16" s="5" t="s">
        <v>242</v>
      </c>
      <c r="C16" s="5"/>
      <c r="D16" s="5"/>
      <c r="E16" s="5"/>
    </row>
    <row r="17" spans="1:9">
      <c r="A17" t="s">
        <v>62</v>
      </c>
      <c r="B17" s="5" t="s">
        <v>208</v>
      </c>
      <c r="C17" s="5"/>
      <c r="D17" s="5"/>
      <c r="E17" s="5"/>
      <c r="H17" s="5"/>
      <c r="I17" s="5"/>
    </row>
    <row r="18" spans="1:9">
      <c r="B18" s="5" t="s">
        <v>241</v>
      </c>
      <c r="C18" s="5"/>
      <c r="D18" s="5"/>
      <c r="E18" s="5"/>
      <c r="H18" s="5"/>
      <c r="I18" s="5"/>
    </row>
    <row r="19" spans="1:9">
      <c r="B19" s="5" t="s">
        <v>242</v>
      </c>
      <c r="C19" s="5"/>
      <c r="D19" s="5"/>
      <c r="E19" s="5"/>
    </row>
    <row r="20" spans="1:9">
      <c r="A20" t="s">
        <v>63</v>
      </c>
      <c r="B20" s="5" t="s">
        <v>208</v>
      </c>
      <c r="C20" s="5"/>
      <c r="D20" s="5"/>
      <c r="E20" s="5"/>
    </row>
    <row r="21" spans="1:9">
      <c r="B21" s="5" t="s">
        <v>241</v>
      </c>
      <c r="C21" s="15"/>
      <c r="D21" s="5"/>
      <c r="E21" s="5"/>
    </row>
    <row r="22" spans="1:9">
      <c r="B22" s="5" t="s">
        <v>242</v>
      </c>
      <c r="C22" s="5"/>
      <c r="D22" s="5"/>
      <c r="E22" s="5"/>
    </row>
    <row r="23" spans="1:9">
      <c r="A23" t="s">
        <v>64</v>
      </c>
      <c r="B23" s="5" t="s">
        <v>208</v>
      </c>
      <c r="C23" s="5"/>
      <c r="D23" s="5"/>
      <c r="E23" s="5"/>
    </row>
    <row r="24" spans="1:9">
      <c r="B24" s="5" t="s">
        <v>241</v>
      </c>
      <c r="C24" s="5"/>
      <c r="D24" s="5"/>
      <c r="E24" s="5"/>
    </row>
    <row r="25" spans="1:9">
      <c r="B25" s="5" t="s">
        <v>242</v>
      </c>
      <c r="C25" s="5"/>
      <c r="D25" s="5"/>
      <c r="E25" s="5"/>
    </row>
    <row r="26" spans="1:9">
      <c r="A26" t="s">
        <v>65</v>
      </c>
      <c r="B26" s="5" t="s">
        <v>208</v>
      </c>
      <c r="C26" s="5"/>
      <c r="D26" s="5"/>
      <c r="E26" s="5"/>
    </row>
    <row r="27" spans="1:9">
      <c r="B27" s="5" t="s">
        <v>241</v>
      </c>
      <c r="C27" s="5"/>
      <c r="D27" s="5"/>
      <c r="E27" s="5"/>
    </row>
    <row r="28" spans="1:9">
      <c r="B28" s="5" t="s">
        <v>242</v>
      </c>
      <c r="C28" s="5"/>
      <c r="D28" s="5"/>
      <c r="E28" s="5"/>
    </row>
    <row r="29" spans="1:9">
      <c r="B29" s="5" t="s">
        <v>243</v>
      </c>
      <c r="C29" s="5"/>
      <c r="D29" s="5"/>
      <c r="E29" s="5"/>
    </row>
    <row r="30" spans="1:9">
      <c r="A30" t="s">
        <v>66</v>
      </c>
      <c r="B30" s="5" t="s">
        <v>208</v>
      </c>
      <c r="C30" s="5"/>
      <c r="D30" s="5"/>
      <c r="E30" s="5"/>
    </row>
    <row r="31" spans="1:9">
      <c r="B31" s="5" t="s">
        <v>241</v>
      </c>
      <c r="C31" s="5"/>
      <c r="D31" s="5"/>
      <c r="E31" s="5"/>
    </row>
    <row r="32" spans="1:9">
      <c r="B32" s="5" t="s">
        <v>242</v>
      </c>
      <c r="C32" s="5"/>
      <c r="D32" s="5"/>
      <c r="E32" s="5"/>
    </row>
    <row r="33" spans="1:5">
      <c r="B33" s="5" t="s">
        <v>243</v>
      </c>
      <c r="C33" s="5"/>
      <c r="D33" s="5"/>
      <c r="E33" s="5"/>
    </row>
    <row r="34" spans="1:5">
      <c r="A34" t="s">
        <v>67</v>
      </c>
      <c r="B34" s="5" t="s">
        <v>208</v>
      </c>
      <c r="C34" s="5"/>
      <c r="D34" s="5"/>
      <c r="E34" s="5"/>
    </row>
    <row r="35" spans="1:5">
      <c r="B35" s="5" t="s">
        <v>241</v>
      </c>
      <c r="C35" s="5"/>
      <c r="D35" s="5"/>
      <c r="E35" s="5"/>
    </row>
    <row r="36" spans="1:5">
      <c r="B36" s="5" t="s">
        <v>242</v>
      </c>
      <c r="C36" s="5"/>
      <c r="D36" s="5"/>
      <c r="E36" s="5"/>
    </row>
    <row r="37" spans="1:5">
      <c r="B37" s="5" t="s">
        <v>243</v>
      </c>
      <c r="C37" s="5"/>
      <c r="D37" s="5"/>
      <c r="E37" s="5"/>
    </row>
    <row r="38" spans="1:5">
      <c r="A38" t="s">
        <v>68</v>
      </c>
      <c r="B38" s="5" t="s">
        <v>208</v>
      </c>
      <c r="C38" s="5"/>
      <c r="D38" s="5"/>
      <c r="E38" s="5"/>
    </row>
    <row r="39" spans="1:5">
      <c r="B39" s="5" t="s">
        <v>241</v>
      </c>
      <c r="C39" s="5"/>
      <c r="D39" s="5"/>
      <c r="E39" s="5"/>
    </row>
    <row r="40" spans="1:5">
      <c r="B40" s="5" t="s">
        <v>242</v>
      </c>
      <c r="C40" s="5"/>
      <c r="D40" s="5"/>
      <c r="E40" s="5"/>
    </row>
    <row r="41" spans="1:5">
      <c r="B41" s="5" t="s">
        <v>243</v>
      </c>
      <c r="C41" s="5"/>
      <c r="D41" s="5"/>
      <c r="E41" s="5"/>
    </row>
    <row r="42" spans="1:5">
      <c r="A42" t="s">
        <v>69</v>
      </c>
      <c r="B42" s="5" t="s">
        <v>208</v>
      </c>
      <c r="C42" s="5"/>
      <c r="D42" s="5"/>
      <c r="E42" s="5"/>
    </row>
    <row r="43" spans="1:5">
      <c r="B43" s="5" t="s">
        <v>241</v>
      </c>
      <c r="C43" s="5"/>
      <c r="D43" s="5"/>
      <c r="E43" s="5"/>
    </row>
    <row r="44" spans="1:5">
      <c r="B44" s="5" t="s">
        <v>242</v>
      </c>
      <c r="C44" s="5"/>
      <c r="D44" s="5"/>
      <c r="E44" s="5"/>
    </row>
    <row r="45" spans="1:5">
      <c r="B45" s="5" t="s">
        <v>243</v>
      </c>
      <c r="C45" s="5"/>
      <c r="D45" s="5"/>
      <c r="E45" s="5"/>
    </row>
    <row r="46" spans="1:5">
      <c r="B46" s="5" t="s">
        <v>244</v>
      </c>
      <c r="C46" s="5"/>
      <c r="D46" s="5"/>
      <c r="E46" s="5"/>
    </row>
    <row r="47" spans="1:5">
      <c r="A47" t="s">
        <v>70</v>
      </c>
      <c r="B47" s="5" t="s">
        <v>208</v>
      </c>
      <c r="C47" s="5"/>
      <c r="D47" s="5"/>
      <c r="E47" s="5"/>
    </row>
    <row r="48" spans="1:5">
      <c r="B48" s="5" t="s">
        <v>241</v>
      </c>
      <c r="C48" s="5"/>
      <c r="D48" s="5"/>
      <c r="E48" s="5"/>
    </row>
    <row r="49" spans="1:5">
      <c r="B49" s="5" t="s">
        <v>242</v>
      </c>
      <c r="C49" s="5"/>
      <c r="D49" s="5"/>
      <c r="E49" s="5"/>
    </row>
    <row r="50" spans="1:5">
      <c r="B50" s="5" t="s">
        <v>243</v>
      </c>
      <c r="C50" s="5"/>
      <c r="D50" s="5"/>
      <c r="E50" s="5"/>
    </row>
    <row r="51" spans="1:5">
      <c r="B51" s="5" t="s">
        <v>244</v>
      </c>
      <c r="C51" s="5"/>
      <c r="D51" s="5"/>
      <c r="E51" s="5"/>
    </row>
    <row r="52" spans="1:5">
      <c r="A52" t="s">
        <v>71</v>
      </c>
      <c r="B52" s="5" t="s">
        <v>208</v>
      </c>
      <c r="C52" s="5"/>
      <c r="D52" s="5"/>
      <c r="E52" s="5"/>
    </row>
    <row r="53" spans="1:5">
      <c r="B53" s="5" t="s">
        <v>241</v>
      </c>
      <c r="C53" s="5"/>
      <c r="D53" s="5"/>
      <c r="E53" s="5"/>
    </row>
    <row r="54" spans="1:5">
      <c r="B54" s="5" t="s">
        <v>242</v>
      </c>
      <c r="C54" s="5"/>
      <c r="D54" s="5"/>
      <c r="E54" s="5"/>
    </row>
    <row r="55" spans="1:5">
      <c r="B55" s="5" t="s">
        <v>243</v>
      </c>
      <c r="C55" s="5"/>
      <c r="D55" s="5"/>
      <c r="E55" s="5"/>
    </row>
    <row r="56" spans="1:5">
      <c r="B56" s="5" t="s">
        <v>244</v>
      </c>
      <c r="C56" s="5"/>
      <c r="D56" s="5"/>
      <c r="E56" s="5"/>
    </row>
    <row r="57" spans="1:5">
      <c r="A57" t="s">
        <v>72</v>
      </c>
      <c r="B57" s="5" t="s">
        <v>208</v>
      </c>
      <c r="C57" s="5"/>
      <c r="D57" s="5"/>
      <c r="E57" s="5"/>
    </row>
    <row r="58" spans="1:5">
      <c r="B58" s="5" t="s">
        <v>241</v>
      </c>
      <c r="C58" s="5"/>
      <c r="D58" s="5"/>
      <c r="E58" s="5"/>
    </row>
    <row r="59" spans="1:5">
      <c r="B59" s="5" t="s">
        <v>242</v>
      </c>
      <c r="C59" s="5"/>
      <c r="D59" s="5"/>
      <c r="E59" s="5"/>
    </row>
    <row r="60" spans="1:5">
      <c r="B60" s="5" t="s">
        <v>243</v>
      </c>
      <c r="C60" s="5"/>
      <c r="D60" s="5"/>
      <c r="E60" s="5"/>
    </row>
    <row r="61" spans="1:5">
      <c r="B61" s="5" t="s">
        <v>244</v>
      </c>
      <c r="C61" s="5"/>
      <c r="D61" s="5"/>
      <c r="E61" s="5"/>
    </row>
    <row r="62" spans="1:5">
      <c r="A62" t="s">
        <v>73</v>
      </c>
      <c r="B62" s="5" t="s">
        <v>208</v>
      </c>
      <c r="C62" s="5"/>
      <c r="D62" s="5"/>
      <c r="E62" s="5"/>
    </row>
    <row r="63" spans="1:5">
      <c r="B63" s="5" t="s">
        <v>241</v>
      </c>
      <c r="C63" s="5"/>
      <c r="D63" s="5"/>
      <c r="E63" s="5"/>
    </row>
    <row r="64" spans="1:5">
      <c r="B64" s="5" t="s">
        <v>242</v>
      </c>
      <c r="C64" s="5"/>
      <c r="D64" s="5"/>
      <c r="E64" s="5"/>
    </row>
    <row r="65" spans="1:5">
      <c r="B65" s="5" t="s">
        <v>243</v>
      </c>
      <c r="C65" s="5"/>
      <c r="D65" s="5"/>
      <c r="E65" s="5"/>
    </row>
    <row r="66" spans="1:5">
      <c r="B66" s="5" t="s">
        <v>244</v>
      </c>
      <c r="C66" s="5"/>
      <c r="D66" s="5"/>
      <c r="E66" s="5"/>
    </row>
    <row r="67" spans="1:5">
      <c r="A67" t="s">
        <v>74</v>
      </c>
      <c r="B67" s="5" t="s">
        <v>208</v>
      </c>
      <c r="C67" s="5"/>
      <c r="D67" s="5"/>
      <c r="E67" s="5"/>
    </row>
    <row r="68" spans="1:5">
      <c r="B68" s="5" t="s">
        <v>241</v>
      </c>
      <c r="C68" s="5"/>
      <c r="D68" s="5"/>
      <c r="E68" s="5"/>
    </row>
    <row r="69" spans="1:5">
      <c r="B69" s="5" t="s">
        <v>242</v>
      </c>
      <c r="C69" s="5"/>
      <c r="D69" s="5"/>
      <c r="E69" s="5"/>
    </row>
    <row r="70" spans="1:5">
      <c r="B70" s="5" t="s">
        <v>243</v>
      </c>
      <c r="C70" s="5"/>
      <c r="D70" s="5"/>
      <c r="E70" s="5"/>
    </row>
    <row r="71" spans="1:5">
      <c r="B71" s="5" t="s">
        <v>244</v>
      </c>
      <c r="C71" s="5"/>
      <c r="D71" s="5"/>
      <c r="E71" s="5"/>
    </row>
    <row r="72" spans="1:5">
      <c r="A72" t="s">
        <v>75</v>
      </c>
      <c r="B72" s="5" t="s">
        <v>208</v>
      </c>
      <c r="C72" s="5"/>
      <c r="D72" s="5"/>
      <c r="E72" s="5"/>
    </row>
    <row r="73" spans="1:5">
      <c r="B73" s="5" t="s">
        <v>241</v>
      </c>
      <c r="C73" s="5"/>
      <c r="D73" s="5"/>
      <c r="E73" s="5"/>
    </row>
    <row r="74" spans="1:5">
      <c r="B74" s="5" t="s">
        <v>242</v>
      </c>
      <c r="C74" s="5"/>
      <c r="D74" s="5"/>
      <c r="E74" s="5"/>
    </row>
    <row r="75" spans="1:5">
      <c r="B75" s="5" t="s">
        <v>243</v>
      </c>
      <c r="C75" s="5"/>
      <c r="D75" s="5"/>
      <c r="E75" s="5"/>
    </row>
    <row r="76" spans="1:5">
      <c r="B76" s="5" t="s">
        <v>244</v>
      </c>
      <c r="C76" s="5"/>
      <c r="D76" s="5"/>
      <c r="E76" s="5"/>
    </row>
    <row r="77" spans="1:5">
      <c r="A77" t="s">
        <v>76</v>
      </c>
      <c r="B77" s="5" t="s">
        <v>208</v>
      </c>
      <c r="C77" s="5"/>
      <c r="D77" s="5"/>
      <c r="E77" s="5"/>
    </row>
    <row r="78" spans="1:5">
      <c r="B78" s="5" t="s">
        <v>241</v>
      </c>
      <c r="C78" s="5"/>
      <c r="D78" s="5"/>
      <c r="E78" s="5"/>
    </row>
    <row r="79" spans="1:5">
      <c r="B79" s="5" t="s">
        <v>242</v>
      </c>
      <c r="C79" s="5"/>
      <c r="D79" s="5"/>
      <c r="E79" s="5"/>
    </row>
    <row r="80" spans="1:5">
      <c r="B80" s="5" t="s">
        <v>243</v>
      </c>
      <c r="C80" s="5"/>
      <c r="D80" s="5"/>
      <c r="E80" s="5"/>
    </row>
    <row r="81" spans="1:5">
      <c r="B81" s="5" t="s">
        <v>244</v>
      </c>
      <c r="C81" s="5"/>
      <c r="D81" s="5"/>
      <c r="E81" s="5"/>
    </row>
    <row r="82" spans="1:5">
      <c r="A82" t="s">
        <v>77</v>
      </c>
      <c r="B82" s="5" t="s">
        <v>208</v>
      </c>
      <c r="C82" s="5"/>
      <c r="D82" s="5"/>
      <c r="E82" s="5"/>
    </row>
    <row r="83" spans="1:5">
      <c r="B83" s="5" t="s">
        <v>241</v>
      </c>
      <c r="C83" s="5"/>
      <c r="D83" s="5"/>
      <c r="E83" s="5"/>
    </row>
    <row r="84" spans="1:5">
      <c r="B84" s="5" t="s">
        <v>242</v>
      </c>
      <c r="C84" s="5"/>
      <c r="D84" s="5"/>
      <c r="E84" s="5"/>
    </row>
    <row r="85" spans="1:5">
      <c r="B85" s="5" t="s">
        <v>243</v>
      </c>
      <c r="C85" s="5"/>
      <c r="D85" s="5"/>
      <c r="E85" s="5"/>
    </row>
    <row r="86" spans="1:5">
      <c r="B86" s="5" t="s">
        <v>244</v>
      </c>
      <c r="C86" s="5"/>
      <c r="D86" s="5"/>
      <c r="E86" s="5"/>
    </row>
    <row r="87" spans="1:5">
      <c r="A87" t="s">
        <v>78</v>
      </c>
      <c r="B87" s="5" t="s">
        <v>208</v>
      </c>
      <c r="C87" s="5"/>
      <c r="D87" s="5"/>
      <c r="E87" s="5"/>
    </row>
    <row r="88" spans="1:5">
      <c r="B88" s="5" t="s">
        <v>241</v>
      </c>
      <c r="C88" s="5"/>
      <c r="D88" s="5"/>
      <c r="E88" s="5"/>
    </row>
    <row r="89" spans="1:5">
      <c r="B89" s="5" t="s">
        <v>242</v>
      </c>
      <c r="C89" s="5"/>
      <c r="D89" s="5"/>
      <c r="E89" s="5"/>
    </row>
    <row r="90" spans="1:5">
      <c r="B90" s="5" t="s">
        <v>243</v>
      </c>
      <c r="C90" s="5"/>
      <c r="D90" s="5"/>
      <c r="E90" s="5"/>
    </row>
    <row r="91" spans="1:5">
      <c r="B91" s="5" t="s">
        <v>244</v>
      </c>
      <c r="C91" s="5"/>
      <c r="D91" s="5"/>
      <c r="E9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workbookViewId="0">
      <selection activeCell="D10" sqref="D10"/>
    </sheetView>
  </sheetViews>
  <sheetFormatPr defaultRowHeight="15"/>
  <cols>
    <col min="1" max="1" width="13.140625" bestFit="1" customWidth="1"/>
    <col min="2" max="2" width="29" bestFit="1" customWidth="1"/>
    <col min="3" max="3" width="11.28515625" bestFit="1" customWidth="1"/>
  </cols>
  <sheetData>
    <row r="1" spans="1:3" ht="15.75">
      <c r="A1" s="4" t="s">
        <v>225</v>
      </c>
      <c r="B1" s="4" t="s">
        <v>226</v>
      </c>
      <c r="C1" s="4" t="s">
        <v>245</v>
      </c>
    </row>
    <row r="2" spans="1:3" ht="15.75">
      <c r="A2" s="12" t="s">
        <v>53</v>
      </c>
      <c r="B2" s="12" t="s">
        <v>144</v>
      </c>
      <c r="C2" s="12" t="s">
        <v>246</v>
      </c>
    </row>
    <row r="3" spans="1:3" ht="15.75">
      <c r="A3" s="12" t="s">
        <v>54</v>
      </c>
      <c r="B3" s="12" t="s">
        <v>144</v>
      </c>
      <c r="C3" s="12" t="s">
        <v>246</v>
      </c>
    </row>
    <row r="4" spans="1:3" ht="15.75">
      <c r="A4" s="12" t="s">
        <v>55</v>
      </c>
      <c r="B4" s="12" t="s">
        <v>144</v>
      </c>
      <c r="C4" s="12" t="s">
        <v>246</v>
      </c>
    </row>
    <row r="5" spans="1:3" ht="15.75">
      <c r="A5" s="12" t="s">
        <v>56</v>
      </c>
      <c r="B5" s="12" t="s">
        <v>144</v>
      </c>
      <c r="C5" s="12" t="s">
        <v>246</v>
      </c>
    </row>
    <row r="6" spans="1:3" ht="15.75">
      <c r="A6" s="12"/>
      <c r="B6" s="12" t="s">
        <v>132</v>
      </c>
      <c r="C6" s="12" t="s">
        <v>246</v>
      </c>
    </row>
    <row r="7" spans="1:3" ht="15.75">
      <c r="A7" s="12" t="s">
        <v>57</v>
      </c>
      <c r="B7" s="12" t="s">
        <v>132</v>
      </c>
      <c r="C7" s="12" t="s">
        <v>246</v>
      </c>
    </row>
    <row r="8" spans="1:3" ht="15.75">
      <c r="A8" s="12" t="s">
        <v>58</v>
      </c>
      <c r="B8" s="12" t="s">
        <v>132</v>
      </c>
      <c r="C8" s="12" t="s">
        <v>246</v>
      </c>
    </row>
    <row r="9" spans="1:3" ht="15.75">
      <c r="A9" s="12"/>
      <c r="B9" s="12" t="s">
        <v>128</v>
      </c>
      <c r="C9" s="12" t="s">
        <v>246</v>
      </c>
    </row>
    <row r="10" spans="1:3" ht="15.75">
      <c r="A10" s="12" t="s">
        <v>59</v>
      </c>
      <c r="B10" s="11" t="s">
        <v>144</v>
      </c>
      <c r="C10" s="11" t="s">
        <v>246</v>
      </c>
    </row>
    <row r="11" spans="1:3" ht="15.75">
      <c r="A11" s="12" t="s">
        <v>60</v>
      </c>
      <c r="B11" s="11"/>
      <c r="C11" s="11"/>
    </row>
    <row r="12" spans="1:3" ht="15.75">
      <c r="A12" s="12" t="s">
        <v>61</v>
      </c>
      <c r="B12" s="11"/>
      <c r="C12" s="11"/>
    </row>
    <row r="13" spans="1:3" ht="15.75">
      <c r="A13" s="12" t="s">
        <v>62</v>
      </c>
      <c r="B13" s="11"/>
      <c r="C13" s="11"/>
    </row>
    <row r="14" spans="1:3" ht="15.75">
      <c r="A14" s="12" t="s">
        <v>63</v>
      </c>
      <c r="B14" s="11"/>
      <c r="C14" s="11"/>
    </row>
    <row r="15" spans="1:3" ht="15.75">
      <c r="A15" s="12" t="s">
        <v>64</v>
      </c>
      <c r="B15" s="11"/>
      <c r="C15" s="11"/>
    </row>
    <row r="16" spans="1:3" ht="15.75">
      <c r="A16" s="12" t="s">
        <v>65</v>
      </c>
      <c r="B16" s="11"/>
      <c r="C16" s="11"/>
    </row>
    <row r="17" spans="1:3" ht="15.75">
      <c r="A17" s="12" t="s">
        <v>66</v>
      </c>
      <c r="B17" s="11"/>
      <c r="C17" s="11"/>
    </row>
    <row r="18" spans="1:3" ht="15.75">
      <c r="A18" s="12" t="s">
        <v>67</v>
      </c>
      <c r="B18" s="11"/>
      <c r="C18" s="11"/>
    </row>
    <row r="19" spans="1:3" ht="15.75">
      <c r="A19" s="12" t="s">
        <v>68</v>
      </c>
      <c r="B19" s="11"/>
      <c r="C19" s="11"/>
    </row>
    <row r="20" spans="1:3" ht="15.75">
      <c r="A20" s="12" t="s">
        <v>69</v>
      </c>
      <c r="B20" s="11"/>
      <c r="C20" s="11"/>
    </row>
    <row r="21" spans="1:3" ht="15.75">
      <c r="A21" s="12" t="s">
        <v>70</v>
      </c>
      <c r="B21" s="11"/>
      <c r="C21" s="11"/>
    </row>
    <row r="22" spans="1:3" ht="15.75">
      <c r="A22" s="12" t="s">
        <v>71</v>
      </c>
      <c r="B22" s="11"/>
      <c r="C22" s="11"/>
    </row>
    <row r="23" spans="1:3" ht="15.75">
      <c r="A23" s="12" t="s">
        <v>72</v>
      </c>
      <c r="B23" s="5"/>
      <c r="C23" s="11"/>
    </row>
    <row r="24" spans="1:3" ht="15.75">
      <c r="A24" s="12" t="s">
        <v>73</v>
      </c>
      <c r="B24" s="11"/>
      <c r="C24" s="11"/>
    </row>
    <row r="25" spans="1:3" ht="15.75">
      <c r="A25" s="12" t="s">
        <v>74</v>
      </c>
      <c r="B25" s="5"/>
      <c r="C25" s="11"/>
    </row>
    <row r="26" spans="1:3" ht="15.75">
      <c r="A26" s="12" t="s">
        <v>75</v>
      </c>
      <c r="B26" s="11"/>
      <c r="C26" s="11"/>
    </row>
    <row r="27" spans="1:3" ht="15.75">
      <c r="A27" s="12" t="s">
        <v>76</v>
      </c>
      <c r="B27" s="11"/>
      <c r="C27" s="11"/>
    </row>
    <row r="28" spans="1:3" ht="15.75">
      <c r="A28" s="12" t="s">
        <v>77</v>
      </c>
      <c r="B28" s="11"/>
      <c r="C28" s="11"/>
    </row>
    <row r="29" spans="1:3" ht="15.75">
      <c r="A29" s="12" t="s">
        <v>78</v>
      </c>
      <c r="B29" s="11"/>
      <c r="C29" s="11"/>
    </row>
    <row r="30" spans="1:3" ht="15.75">
      <c r="A30" s="12" t="s">
        <v>157</v>
      </c>
      <c r="B30" s="11"/>
      <c r="C30" s="11"/>
    </row>
    <row r="31" spans="1:3" ht="15.75">
      <c r="A31" s="12" t="s">
        <v>158</v>
      </c>
      <c r="B31" s="11"/>
      <c r="C31" s="11"/>
    </row>
    <row r="32" spans="1:3" ht="15.75">
      <c r="A32" s="12" t="s">
        <v>159</v>
      </c>
      <c r="B32" s="11"/>
      <c r="C32" s="11"/>
    </row>
    <row r="33" spans="1:3" ht="15.75">
      <c r="A33" s="12" t="s">
        <v>162</v>
      </c>
      <c r="B33" s="11"/>
      <c r="C33" s="11"/>
    </row>
    <row r="34" spans="1:3" ht="15.75">
      <c r="A34" s="12" t="s">
        <v>164</v>
      </c>
      <c r="B34" s="5"/>
      <c r="C34" s="11"/>
    </row>
    <row r="35" spans="1:3" ht="15.75">
      <c r="A35" s="12" t="s">
        <v>165</v>
      </c>
      <c r="B35" s="5"/>
      <c r="C35" s="11"/>
    </row>
    <row r="36" spans="1:3" ht="15.75">
      <c r="A36" s="12" t="s">
        <v>166</v>
      </c>
      <c r="B36" s="5"/>
      <c r="C36" s="11"/>
    </row>
    <row r="37" spans="1:3" ht="15.75">
      <c r="A37" s="12" t="s">
        <v>167</v>
      </c>
      <c r="B37" s="5"/>
      <c r="C37" s="11"/>
    </row>
    <row r="38" spans="1:3" ht="15.75">
      <c r="A38" s="12" t="s">
        <v>168</v>
      </c>
      <c r="B38" s="11"/>
      <c r="C38" s="11"/>
    </row>
    <row r="39" spans="1:3" ht="15.75">
      <c r="A39" s="12" t="s">
        <v>169</v>
      </c>
      <c r="B39" s="5"/>
      <c r="C39" s="11"/>
    </row>
    <row r="40" spans="1:3">
      <c r="B40" s="11"/>
      <c r="C40" s="11"/>
    </row>
    <row r="41" spans="1:3">
      <c r="B41" s="5"/>
      <c r="C41" s="11"/>
    </row>
    <row r="42" spans="1:3">
      <c r="B42" s="11"/>
      <c r="C42" s="11"/>
    </row>
    <row r="43" spans="1:3">
      <c r="B43" s="5"/>
    </row>
    <row r="44" spans="1:3">
      <c r="B44" s="11"/>
    </row>
    <row r="45" spans="1:3">
      <c r="B45" s="5"/>
      <c r="C45" s="11"/>
    </row>
    <row r="46" spans="1:3">
      <c r="B46" s="11"/>
      <c r="C46" s="11"/>
    </row>
    <row r="47" spans="1:3">
      <c r="B47" s="5"/>
      <c r="C47" s="11"/>
    </row>
    <row r="48" spans="1:3">
      <c r="B48" s="11"/>
      <c r="C48" s="11"/>
    </row>
    <row r="49" spans="2:3">
      <c r="B49" s="5"/>
      <c r="C49" s="11"/>
    </row>
    <row r="50" spans="2:3">
      <c r="B50" s="11"/>
      <c r="C50" s="11"/>
    </row>
    <row r="51" spans="2:3">
      <c r="B51" s="5"/>
      <c r="C51" s="11"/>
    </row>
    <row r="52" spans="2:3">
      <c r="B52" s="11"/>
    </row>
    <row r="53" spans="2:3">
      <c r="B53" s="11"/>
    </row>
    <row r="54" spans="2:3">
      <c r="B54" s="11"/>
      <c r="C54" s="11"/>
    </row>
    <row r="55" spans="2:3">
      <c r="B55" s="11"/>
      <c r="C55" s="11"/>
    </row>
    <row r="56" spans="2:3">
      <c r="B56" s="11"/>
      <c r="C56" s="11"/>
    </row>
    <row r="57" spans="2:3">
      <c r="B57" s="11"/>
    </row>
    <row r="58" spans="2:3">
      <c r="B58" s="11"/>
    </row>
    <row r="59" spans="2:3">
      <c r="B59" s="11"/>
    </row>
    <row r="60" spans="2:3">
      <c r="B60" s="11"/>
      <c r="C60" s="11"/>
    </row>
    <row r="61" spans="2:3">
      <c r="B61" s="11"/>
      <c r="C61" s="11"/>
    </row>
    <row r="62" spans="2:3">
      <c r="B62" s="11"/>
      <c r="C62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topLeftCell="A23" workbookViewId="0">
      <selection activeCell="E25" sqref="E25"/>
    </sheetView>
  </sheetViews>
  <sheetFormatPr defaultRowHeight="15"/>
  <cols>
    <col min="1" max="1" width="32.28515625" style="14" bestFit="1" customWidth="1"/>
    <col min="2" max="2" width="21.140625" style="14" bestFit="1" customWidth="1"/>
    <col min="3" max="3" width="27.42578125" style="14" bestFit="1" customWidth="1"/>
    <col min="4" max="4" width="41.28515625" style="14" bestFit="1" customWidth="1"/>
    <col min="5" max="16384" width="9.140625" style="14"/>
  </cols>
  <sheetData>
    <row r="1" spans="1:4">
      <c r="A1" s="13" t="s">
        <v>247</v>
      </c>
      <c r="B1" s="13" t="s">
        <v>248</v>
      </c>
      <c r="C1" s="13" t="s">
        <v>249</v>
      </c>
      <c r="D1" s="13" t="s">
        <v>250</v>
      </c>
    </row>
    <row r="2" spans="1:4" ht="18.75">
      <c r="A2" s="70" t="s">
        <v>152</v>
      </c>
      <c r="B2" s="70"/>
      <c r="C2" s="70"/>
      <c r="D2" s="70"/>
    </row>
    <row r="7" spans="1:4">
      <c r="C7" s="47" t="s">
        <v>251</v>
      </c>
      <c r="D7" s="14">
        <f>SUM(D3:D6)</f>
        <v>0</v>
      </c>
    </row>
    <row r="8" spans="1:4" ht="18.75">
      <c r="A8" s="70" t="s">
        <v>145</v>
      </c>
      <c r="B8" s="70"/>
      <c r="C8" s="70"/>
      <c r="D8" s="70"/>
    </row>
    <row r="9" spans="1:4">
      <c r="A9" s="14" t="s">
        <v>146</v>
      </c>
      <c r="C9" s="14">
        <v>2</v>
      </c>
      <c r="D9" s="14">
        <v>2</v>
      </c>
    </row>
    <row r="12" spans="1:4">
      <c r="C12" s="47" t="s">
        <v>251</v>
      </c>
      <c r="D12" s="14">
        <f>SUM(D9:D11)</f>
        <v>2</v>
      </c>
    </row>
    <row r="13" spans="1:4" ht="18.75">
      <c r="A13" s="70" t="s">
        <v>252</v>
      </c>
      <c r="B13" s="70"/>
      <c r="C13" s="70"/>
      <c r="D13" s="70"/>
    </row>
    <row r="14" spans="1:4">
      <c r="A14" s="14" t="s">
        <v>253</v>
      </c>
      <c r="C14" s="14">
        <v>1</v>
      </c>
      <c r="D14" s="14">
        <v>1</v>
      </c>
    </row>
    <row r="15" spans="1:4">
      <c r="A15" s="14" t="s">
        <v>150</v>
      </c>
      <c r="C15" s="14">
        <v>6</v>
      </c>
      <c r="D15" s="14">
        <v>6</v>
      </c>
    </row>
    <row r="17" spans="1:4">
      <c r="C17" s="47" t="s">
        <v>251</v>
      </c>
      <c r="D17" s="14">
        <f>SUM(D14:D16)</f>
        <v>7</v>
      </c>
    </row>
    <row r="18" spans="1:4" ht="18.75">
      <c r="A18" s="70" t="s">
        <v>254</v>
      </c>
      <c r="B18" s="70"/>
      <c r="C18" s="70"/>
      <c r="D18" s="70"/>
    </row>
    <row r="19" spans="1:4">
      <c r="A19" s="14" t="s">
        <v>255</v>
      </c>
      <c r="C19" s="14">
        <v>2</v>
      </c>
      <c r="D19" s="14">
        <v>2</v>
      </c>
    </row>
    <row r="22" spans="1:4">
      <c r="C22" s="47" t="s">
        <v>251</v>
      </c>
      <c r="D22" s="14">
        <f>SUM(D19:D21)</f>
        <v>2</v>
      </c>
    </row>
    <row r="23" spans="1:4" ht="18.75">
      <c r="A23" s="70" t="s">
        <v>256</v>
      </c>
      <c r="B23" s="70"/>
      <c r="C23" s="70"/>
      <c r="D23" s="70"/>
    </row>
    <row r="24" spans="1:4">
      <c r="A24" s="14" t="s">
        <v>246</v>
      </c>
      <c r="C24" s="14">
        <v>100</v>
      </c>
      <c r="D24" s="14">
        <v>100</v>
      </c>
    </row>
    <row r="25" spans="1:4">
      <c r="A25" s="14" t="s">
        <v>257</v>
      </c>
      <c r="C25" s="14">
        <v>500</v>
      </c>
      <c r="D25" s="14">
        <v>500</v>
      </c>
    </row>
    <row r="26" spans="1:4">
      <c r="A26" s="14" t="s">
        <v>258</v>
      </c>
      <c r="C26" s="14">
        <v>200</v>
      </c>
      <c r="D26" s="14">
        <v>200</v>
      </c>
    </row>
    <row r="28" spans="1:4">
      <c r="C28" s="47" t="s">
        <v>251</v>
      </c>
      <c r="D28" s="14">
        <f>SUM(D24:D27)</f>
        <v>800</v>
      </c>
    </row>
    <row r="29" spans="1:4" ht="18.75">
      <c r="A29" s="70" t="s">
        <v>259</v>
      </c>
      <c r="B29" s="70"/>
      <c r="C29" s="70"/>
      <c r="D29" s="70"/>
    </row>
    <row r="32" spans="1:4">
      <c r="C32" s="47" t="s">
        <v>251</v>
      </c>
      <c r="D32" s="14">
        <f>SUM(D30:D31)</f>
        <v>0</v>
      </c>
    </row>
    <row r="33" spans="1:4" ht="18.75">
      <c r="A33" s="70" t="s">
        <v>151</v>
      </c>
      <c r="B33" s="70"/>
      <c r="C33" s="70"/>
      <c r="D33" s="70"/>
    </row>
    <row r="34" spans="1:4">
      <c r="A34" s="14" t="s">
        <v>246</v>
      </c>
      <c r="C34" s="14">
        <v>1000</v>
      </c>
      <c r="D34" s="14">
        <v>1000</v>
      </c>
    </row>
    <row r="39" spans="1:4">
      <c r="C39" s="47" t="s">
        <v>251</v>
      </c>
      <c r="D39" s="14">
        <f>SUM(D34:D38)</f>
        <v>1000</v>
      </c>
    </row>
    <row r="41" spans="1:4" ht="18.75">
      <c r="A41" s="70" t="s">
        <v>260</v>
      </c>
      <c r="B41" s="70"/>
      <c r="C41" s="70"/>
      <c r="D41" s="70"/>
    </row>
    <row r="42" spans="1:4">
      <c r="A42" s="14" t="s">
        <v>260</v>
      </c>
      <c r="C42" s="14" t="s">
        <v>261</v>
      </c>
    </row>
    <row r="43" spans="1:4">
      <c r="C43" s="14" t="s">
        <v>262</v>
      </c>
    </row>
    <row r="47" spans="1:4">
      <c r="C47" s="47" t="s">
        <v>251</v>
      </c>
      <c r="D47" s="14">
        <f>SUM(D42:D46)</f>
        <v>0</v>
      </c>
    </row>
  </sheetData>
  <mergeCells count="8">
    <mergeCell ref="A41:D41"/>
    <mergeCell ref="A33:D33"/>
    <mergeCell ref="A29:D29"/>
    <mergeCell ref="A2:D2"/>
    <mergeCell ref="A8:D8"/>
    <mergeCell ref="A13:D13"/>
    <mergeCell ref="A18:D18"/>
    <mergeCell ref="A23:D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selection activeCell="I10" sqref="I10"/>
    </sheetView>
  </sheetViews>
  <sheetFormatPr defaultRowHeight="15"/>
  <cols>
    <col min="1" max="1" width="21.85546875" style="19" bestFit="1" customWidth="1"/>
    <col min="2" max="2" width="33.85546875" style="18" customWidth="1"/>
    <col min="3" max="3" width="21.7109375" style="18" bestFit="1" customWidth="1"/>
    <col min="4" max="4" width="31.85546875" style="18" bestFit="1" customWidth="1"/>
    <col min="5" max="5" width="24.85546875" style="18" bestFit="1" customWidth="1"/>
    <col min="6" max="6" width="36.5703125" style="18" bestFit="1" customWidth="1"/>
    <col min="7" max="7" width="15.5703125" style="18" bestFit="1" customWidth="1"/>
    <col min="8" max="8" width="33.28515625" style="18" bestFit="1" customWidth="1"/>
    <col min="9" max="9" width="14.140625" style="18" bestFit="1" customWidth="1"/>
    <col min="10" max="10" width="11.5703125" style="18" bestFit="1" customWidth="1"/>
    <col min="11" max="11" width="14.140625" style="18" bestFit="1" customWidth="1"/>
    <col min="12" max="12" width="11.5703125" style="18" bestFit="1" customWidth="1"/>
    <col min="13" max="13" width="14.140625" style="18" bestFit="1" customWidth="1"/>
    <col min="14" max="14" width="11.5703125" style="18" bestFit="1" customWidth="1"/>
    <col min="15" max="15" width="14.140625" style="18" bestFit="1" customWidth="1"/>
    <col min="16" max="16" width="11.5703125" style="18" bestFit="1" customWidth="1"/>
    <col min="17" max="17" width="14.140625" style="18" bestFit="1" customWidth="1"/>
    <col min="18" max="18" width="11.5703125" style="18" bestFit="1" customWidth="1"/>
    <col min="19" max="19" width="14.140625" style="18" bestFit="1" customWidth="1"/>
    <col min="20" max="20" width="11.5703125" style="18" bestFit="1" customWidth="1"/>
    <col min="21" max="21" width="14.140625" style="18" bestFit="1" customWidth="1"/>
    <col min="22" max="22" width="11.5703125" style="18" bestFit="1" customWidth="1"/>
    <col min="23" max="23" width="14.140625" style="18" bestFit="1" customWidth="1"/>
    <col min="24" max="24" width="11.5703125" style="18" bestFit="1" customWidth="1"/>
    <col min="25" max="25" width="14.140625" style="18" bestFit="1" customWidth="1"/>
    <col min="26" max="26" width="11.5703125" style="18" bestFit="1" customWidth="1"/>
    <col min="27" max="27" width="14.140625" style="18" bestFit="1" customWidth="1"/>
    <col min="28" max="28" width="11.5703125" style="18" bestFit="1" customWidth="1"/>
    <col min="29" max="40" width="7.42578125" style="18" bestFit="1" customWidth="1"/>
    <col min="41" max="16384" width="9.140625" style="18"/>
  </cols>
  <sheetData>
    <row r="1" spans="1:9" s="22" customFormat="1" ht="18.75">
      <c r="A1" s="22" t="s">
        <v>263</v>
      </c>
      <c r="B1" s="22" t="s">
        <v>264</v>
      </c>
    </row>
    <row r="2" spans="1:9" s="22" customFormat="1" ht="18.75">
      <c r="B2" s="22" t="s">
        <v>152</v>
      </c>
      <c r="C2" s="22" t="s">
        <v>145</v>
      </c>
      <c r="D2" s="22" t="s">
        <v>252</v>
      </c>
      <c r="E2" s="22" t="s">
        <v>153</v>
      </c>
      <c r="F2" s="22" t="s">
        <v>256</v>
      </c>
      <c r="G2" s="22" t="s">
        <v>154</v>
      </c>
      <c r="H2" s="22" t="s">
        <v>151</v>
      </c>
      <c r="I2" s="22" t="s">
        <v>265</v>
      </c>
    </row>
    <row r="3" spans="1:9">
      <c r="A3" s="19" t="s">
        <v>266</v>
      </c>
      <c r="F3" s="18" t="s">
        <v>267</v>
      </c>
      <c r="H3" s="18" t="s">
        <v>268</v>
      </c>
    </row>
    <row r="4" spans="1:9" ht="30.75">
      <c r="A4" s="19" t="s">
        <v>269</v>
      </c>
      <c r="F4" s="62" t="s">
        <v>270</v>
      </c>
      <c r="H4" s="18" t="s">
        <v>271</v>
      </c>
    </row>
    <row r="5" spans="1:9">
      <c r="A5" s="19" t="s">
        <v>272</v>
      </c>
      <c r="F5" s="18" t="s">
        <v>273</v>
      </c>
      <c r="H5" s="18" t="s">
        <v>271</v>
      </c>
    </row>
    <row r="6" spans="1:9">
      <c r="A6" s="19" t="s">
        <v>203</v>
      </c>
      <c r="C6" s="18" t="s">
        <v>274</v>
      </c>
      <c r="D6" s="18" t="s">
        <v>275</v>
      </c>
      <c r="F6" s="18" t="s">
        <v>276</v>
      </c>
      <c r="H6" s="18" t="s">
        <v>271</v>
      </c>
    </row>
    <row r="7" spans="1:9">
      <c r="A7" s="19" t="s">
        <v>206</v>
      </c>
      <c r="C7" s="18" t="s">
        <v>274</v>
      </c>
      <c r="D7" s="18" t="s">
        <v>275</v>
      </c>
      <c r="F7" s="18" t="s">
        <v>276</v>
      </c>
      <c r="H7" s="18" t="s">
        <v>268</v>
      </c>
    </row>
    <row r="8" spans="1:9">
      <c r="A8" s="19" t="s">
        <v>277</v>
      </c>
      <c r="C8" s="18" t="s">
        <v>274</v>
      </c>
      <c r="D8" s="18" t="s">
        <v>275</v>
      </c>
      <c r="F8" s="18" t="s">
        <v>276</v>
      </c>
      <c r="H8" s="18" t="s">
        <v>278</v>
      </c>
    </row>
    <row r="9" spans="1:9" ht="45.75">
      <c r="A9" s="19" t="s">
        <v>279</v>
      </c>
      <c r="C9" s="18" t="s">
        <v>274</v>
      </c>
      <c r="D9" s="18" t="s">
        <v>280</v>
      </c>
      <c r="E9" s="18" t="s">
        <v>281</v>
      </c>
      <c r="F9" s="62" t="s">
        <v>282</v>
      </c>
      <c r="H9" s="18" t="s">
        <v>283</v>
      </c>
      <c r="I9" s="62" t="s">
        <v>284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7"/>
  <sheetViews>
    <sheetView topLeftCell="B1" workbookViewId="0">
      <selection activeCell="B3" sqref="B3"/>
    </sheetView>
  </sheetViews>
  <sheetFormatPr defaultRowHeight="15"/>
  <cols>
    <col min="1" max="1" width="37.7109375" style="18" bestFit="1" customWidth="1"/>
    <col min="2" max="2" width="36.85546875" style="18" bestFit="1" customWidth="1"/>
    <col min="3" max="3" width="23.28515625" style="18" bestFit="1" customWidth="1"/>
    <col min="4" max="4" width="30.140625" style="18" bestFit="1" customWidth="1"/>
    <col min="5" max="5" width="24.42578125" style="18" bestFit="1" customWidth="1"/>
    <col min="6" max="6" width="22.5703125" style="18" bestFit="1" customWidth="1"/>
    <col min="7" max="7" width="36.28515625" style="18" bestFit="1" customWidth="1"/>
    <col min="8" max="8" width="17.42578125" style="18" bestFit="1" customWidth="1"/>
    <col min="9" max="9" width="26" style="18" bestFit="1" customWidth="1"/>
    <col min="10" max="10" width="29.140625" style="18" bestFit="1" customWidth="1"/>
    <col min="11" max="12" width="24.85546875" style="18" bestFit="1" customWidth="1"/>
    <col min="13" max="16384" width="9.140625" style="18"/>
  </cols>
  <sheetData>
    <row r="1" spans="1:12" s="21" customFormat="1" ht="18.75">
      <c r="A1" s="21" t="s">
        <v>145</v>
      </c>
      <c r="B1" s="21" t="s">
        <v>285</v>
      </c>
      <c r="C1" s="21" t="s">
        <v>153</v>
      </c>
      <c r="D1" s="21" t="s">
        <v>286</v>
      </c>
      <c r="E1" s="21" t="s">
        <v>287</v>
      </c>
      <c r="F1" s="21" t="s">
        <v>288</v>
      </c>
      <c r="G1" s="21" t="s">
        <v>289</v>
      </c>
      <c r="H1" s="21" t="s">
        <v>290</v>
      </c>
      <c r="I1" s="21" t="s">
        <v>291</v>
      </c>
      <c r="J1" s="21" t="s">
        <v>292</v>
      </c>
      <c r="K1" s="21" t="s">
        <v>293</v>
      </c>
      <c r="L1" s="21" t="s">
        <v>147</v>
      </c>
    </row>
    <row r="2" spans="1:12">
      <c r="A2" s="18" t="s">
        <v>294</v>
      </c>
      <c r="B2" s="18" t="s">
        <v>295</v>
      </c>
      <c r="D2" s="18" t="s">
        <v>296</v>
      </c>
      <c r="G2" s="18" t="s">
        <v>297</v>
      </c>
      <c r="H2" s="18" t="s">
        <v>298</v>
      </c>
      <c r="I2" s="18" t="s">
        <v>299</v>
      </c>
      <c r="J2" s="20" t="s">
        <v>300</v>
      </c>
      <c r="L2" s="18" t="s">
        <v>301</v>
      </c>
    </row>
    <row r="3" spans="1:12">
      <c r="A3" s="18" t="s">
        <v>302</v>
      </c>
      <c r="C3" s="20"/>
      <c r="H3" s="20"/>
      <c r="I3" s="18" t="s">
        <v>303</v>
      </c>
      <c r="J3" s="18" t="s">
        <v>304</v>
      </c>
      <c r="L3" s="20"/>
    </row>
    <row r="4" spans="1:12">
      <c r="A4" s="20"/>
      <c r="G4" s="18" t="s">
        <v>305</v>
      </c>
      <c r="H4" s="20"/>
      <c r="I4" s="20"/>
      <c r="J4" s="18" t="s">
        <v>306</v>
      </c>
      <c r="L4" s="20"/>
    </row>
    <row r="5" spans="1:12">
      <c r="B5" s="20"/>
      <c r="D5" s="5"/>
      <c r="G5" s="20" t="s">
        <v>307</v>
      </c>
      <c r="H5" s="20"/>
      <c r="I5" s="20"/>
      <c r="J5" s="18" t="s">
        <v>308</v>
      </c>
      <c r="L5" s="20"/>
    </row>
    <row r="6" spans="1:12">
      <c r="A6" s="20"/>
      <c r="G6" s="20" t="s">
        <v>309</v>
      </c>
      <c r="H6" s="20"/>
      <c r="I6" s="20"/>
      <c r="J6" s="18" t="s">
        <v>310</v>
      </c>
      <c r="L6" s="20"/>
    </row>
    <row r="7" spans="1:12">
      <c r="A7" s="20"/>
      <c r="B7" s="20"/>
      <c r="G7" s="20"/>
      <c r="H7" s="20"/>
      <c r="J7" s="18" t="s">
        <v>311</v>
      </c>
    </row>
    <row r="8" spans="1:12">
      <c r="A8" s="20"/>
      <c r="B8" s="20"/>
      <c r="H8" s="20"/>
      <c r="J8" s="18" t="s">
        <v>312</v>
      </c>
    </row>
    <row r="9" spans="1:12">
      <c r="A9" s="20"/>
      <c r="B9" s="20"/>
      <c r="H9" s="20"/>
      <c r="J9" s="18" t="s">
        <v>313</v>
      </c>
    </row>
    <row r="10" spans="1:12">
      <c r="A10" s="20"/>
      <c r="H10" s="20"/>
      <c r="I10" s="5"/>
      <c r="J10" s="18" t="s">
        <v>314</v>
      </c>
    </row>
    <row r="11" spans="1:12">
      <c r="A11" s="20"/>
      <c r="H11" s="20"/>
      <c r="I11" s="20"/>
      <c r="J11" s="20" t="s">
        <v>315</v>
      </c>
    </row>
    <row r="12" spans="1:12">
      <c r="A12" s="20"/>
      <c r="G12" s="20"/>
      <c r="H12" s="20"/>
      <c r="I12" s="20"/>
      <c r="J12" s="20"/>
    </row>
    <row r="13" spans="1:12">
      <c r="A13" s="5"/>
      <c r="G13" s="20"/>
      <c r="H13" s="20"/>
      <c r="I13" s="20"/>
      <c r="J13" s="20"/>
    </row>
    <row r="14" spans="1:12">
      <c r="A14" s="5"/>
      <c r="G14" s="20"/>
      <c r="H14" s="20"/>
      <c r="I14" s="20"/>
      <c r="J14" s="20"/>
    </row>
    <row r="15" spans="1:12">
      <c r="A15" s="5"/>
      <c r="G15" s="20"/>
      <c r="J15" s="20"/>
    </row>
    <row r="16" spans="1:12">
      <c r="A16" s="20"/>
      <c r="G16" s="20"/>
      <c r="J16" s="20"/>
    </row>
    <row r="17" spans="1:10">
      <c r="A17" s="20"/>
      <c r="C17" s="20"/>
      <c r="G17" s="20"/>
      <c r="I17" s="20"/>
      <c r="J17" s="20"/>
    </row>
    <row r="18" spans="1:10">
      <c r="C18" s="20"/>
      <c r="G18" s="20"/>
      <c r="I18" s="20"/>
      <c r="J18" s="20"/>
    </row>
    <row r="19" spans="1:10">
      <c r="C19" s="20"/>
      <c r="G19" s="20"/>
      <c r="J19" s="20"/>
    </row>
    <row r="20" spans="1:10">
      <c r="C20" s="20"/>
      <c r="G20" s="20"/>
    </row>
    <row r="21" spans="1:10">
      <c r="A21" s="5"/>
      <c r="C21" s="20"/>
      <c r="G21" s="20"/>
    </row>
    <row r="22" spans="1:10">
      <c r="A22" s="5"/>
      <c r="G22" s="20"/>
    </row>
    <row r="23" spans="1:10">
      <c r="A23" s="5"/>
      <c r="G23" s="20"/>
    </row>
    <row r="24" spans="1:10">
      <c r="A24" s="5"/>
      <c r="G24" s="20"/>
      <c r="I24" s="20"/>
    </row>
    <row r="25" spans="1:10">
      <c r="A25" s="5"/>
      <c r="G25" s="20"/>
      <c r="I25" s="20"/>
    </row>
    <row r="26" spans="1:10">
      <c r="A26" s="20"/>
      <c r="G26" s="20"/>
      <c r="I26" s="20"/>
    </row>
    <row r="27" spans="1:10">
      <c r="A27" s="20"/>
      <c r="G27" s="20"/>
      <c r="I27" s="20"/>
    </row>
    <row r="28" spans="1:10">
      <c r="G28" s="20"/>
      <c r="I28" s="20"/>
    </row>
    <row r="29" spans="1:10">
      <c r="I29" s="20"/>
    </row>
    <row r="30" spans="1:10">
      <c r="I30" s="5"/>
    </row>
    <row r="34" spans="7:7">
      <c r="G34" s="20"/>
    </row>
    <row r="35" spans="7:7">
      <c r="G35" s="20"/>
    </row>
    <row r="37" spans="7:7">
      <c r="G3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5"/>
  <sheetViews>
    <sheetView topLeftCell="I1" workbookViewId="0">
      <selection activeCell="AE5" sqref="AE5"/>
    </sheetView>
  </sheetViews>
  <sheetFormatPr defaultRowHeight="15"/>
  <cols>
    <col min="1" max="1" width="16.85546875" style="5" bestFit="1" customWidth="1"/>
    <col min="2" max="2" width="37.7109375" style="5" bestFit="1" customWidth="1"/>
    <col min="3" max="4" width="9.140625" style="5"/>
    <col min="5" max="5" width="13.42578125" style="5" bestFit="1" customWidth="1"/>
    <col min="6" max="6" width="17" style="5" bestFit="1" customWidth="1"/>
    <col min="7" max="7" width="11" style="5" bestFit="1" customWidth="1"/>
    <col min="8" max="8" width="9.140625" style="5"/>
    <col min="9" max="9" width="28.42578125" style="5" bestFit="1" customWidth="1"/>
    <col min="10" max="12" width="9.140625" style="5"/>
    <col min="13" max="13" width="13.85546875" style="6" bestFit="1" customWidth="1"/>
    <col min="14" max="14" width="14.28515625" style="5" bestFit="1" customWidth="1"/>
    <col min="15" max="16" width="9.140625" style="5"/>
    <col min="17" max="17" width="9.140625" style="6"/>
    <col min="18" max="18" width="20" style="5" bestFit="1" customWidth="1"/>
    <col min="19" max="20" width="9.140625" style="5"/>
    <col min="21" max="21" width="9.140625" style="6"/>
    <col min="22" max="24" width="9.140625" style="5"/>
    <col min="25" max="25" width="9.140625" style="6"/>
    <col min="26" max="26" width="12.7109375" style="5" bestFit="1" customWidth="1"/>
    <col min="27" max="28" width="9.140625" style="5"/>
    <col min="29" max="29" width="12" style="6" bestFit="1" customWidth="1"/>
    <col min="30" max="30" width="11.7109375" style="5" bestFit="1" customWidth="1"/>
    <col min="31" max="40" width="9.140625" style="5"/>
    <col min="41" max="41" width="20.140625" style="5" bestFit="1" customWidth="1"/>
    <col min="42" max="16384" width="9.140625" style="5"/>
  </cols>
  <sheetData>
    <row r="1" spans="1:43" s="6" customFormat="1">
      <c r="A1" s="48"/>
      <c r="B1" s="48" t="s">
        <v>316</v>
      </c>
      <c r="C1" s="48" t="s">
        <v>317</v>
      </c>
      <c r="E1" s="48" t="s">
        <v>318</v>
      </c>
      <c r="F1" s="48" t="s">
        <v>319</v>
      </c>
      <c r="G1" s="48" t="s">
        <v>317</v>
      </c>
      <c r="I1" s="48" t="s">
        <v>320</v>
      </c>
      <c r="J1" s="48" t="s">
        <v>319</v>
      </c>
      <c r="K1" s="48" t="s">
        <v>317</v>
      </c>
      <c r="M1" s="48" t="s">
        <v>321</v>
      </c>
      <c r="N1" s="48" t="s">
        <v>319</v>
      </c>
      <c r="O1" s="48" t="s">
        <v>317</v>
      </c>
      <c r="Q1" s="48" t="s">
        <v>291</v>
      </c>
      <c r="R1" s="48" t="s">
        <v>319</v>
      </c>
      <c r="S1" s="48" t="s">
        <v>317</v>
      </c>
      <c r="U1" s="48" t="s">
        <v>290</v>
      </c>
      <c r="V1" s="48" t="s">
        <v>319</v>
      </c>
      <c r="W1" s="48" t="s">
        <v>317</v>
      </c>
      <c r="Y1" s="48" t="s">
        <v>322</v>
      </c>
      <c r="Z1" s="48" t="s">
        <v>319</v>
      </c>
      <c r="AA1" s="48" t="s">
        <v>317</v>
      </c>
      <c r="AC1" s="48" t="s">
        <v>323</v>
      </c>
      <c r="AD1" s="48" t="s">
        <v>319</v>
      </c>
      <c r="AE1" s="48" t="s">
        <v>317</v>
      </c>
      <c r="AG1" s="48"/>
      <c r="AH1" s="48"/>
      <c r="AI1" s="48"/>
      <c r="AK1" s="50"/>
      <c r="AL1" s="51"/>
      <c r="AM1" s="52"/>
      <c r="AO1" s="50"/>
      <c r="AP1" s="51" t="s">
        <v>319</v>
      </c>
      <c r="AQ1" s="52" t="s">
        <v>317</v>
      </c>
    </row>
    <row r="2" spans="1:43">
      <c r="A2" s="49" t="s">
        <v>324</v>
      </c>
      <c r="B2" s="49" t="s">
        <v>325</v>
      </c>
      <c r="C2" s="49">
        <v>600</v>
      </c>
      <c r="E2" s="49" t="s">
        <v>326</v>
      </c>
      <c r="F2" s="49"/>
      <c r="G2" s="49"/>
      <c r="I2" s="49" t="s">
        <v>327</v>
      </c>
      <c r="J2" s="49" t="s">
        <v>26</v>
      </c>
      <c r="K2" s="49">
        <v>271000</v>
      </c>
      <c r="M2" s="48" t="s">
        <v>328</v>
      </c>
      <c r="N2" s="49" t="s">
        <v>297</v>
      </c>
      <c r="O2" s="49">
        <v>1000</v>
      </c>
      <c r="Q2" s="48" t="s">
        <v>329</v>
      </c>
      <c r="R2" s="49" t="s">
        <v>26</v>
      </c>
      <c r="S2" s="49">
        <v>1000</v>
      </c>
      <c r="U2" s="48" t="s">
        <v>298</v>
      </c>
      <c r="V2" s="49" t="s">
        <v>26</v>
      </c>
      <c r="W2" s="49">
        <v>1000</v>
      </c>
      <c r="Y2" s="48" t="s">
        <v>330</v>
      </c>
      <c r="Z2" s="49" t="s">
        <v>331</v>
      </c>
      <c r="AA2" s="49"/>
      <c r="AC2" s="48" t="s">
        <v>332</v>
      </c>
      <c r="AD2" s="49" t="s">
        <v>323</v>
      </c>
      <c r="AE2" s="49">
        <v>120000</v>
      </c>
      <c r="AG2" s="49"/>
      <c r="AH2" s="49"/>
      <c r="AI2" s="49"/>
      <c r="AK2" s="53"/>
      <c r="AL2" s="49"/>
      <c r="AM2" s="54"/>
      <c r="AO2" s="53"/>
      <c r="AP2" s="49"/>
      <c r="AQ2" s="54"/>
    </row>
    <row r="3" spans="1:43">
      <c r="A3" s="49"/>
      <c r="B3" s="49" t="s">
        <v>333</v>
      </c>
      <c r="C3" s="49">
        <v>50</v>
      </c>
      <c r="E3" s="49"/>
      <c r="F3" s="49" t="s">
        <v>334</v>
      </c>
      <c r="G3" s="49">
        <v>12</v>
      </c>
      <c r="I3" s="49"/>
      <c r="J3" s="49" t="s">
        <v>255</v>
      </c>
      <c r="K3" s="49">
        <v>400</v>
      </c>
      <c r="M3" s="48"/>
      <c r="N3" s="49" t="s">
        <v>335</v>
      </c>
      <c r="O3" s="49">
        <v>1000</v>
      </c>
      <c r="Q3" s="48"/>
      <c r="R3" s="49"/>
      <c r="S3" s="49"/>
      <c r="U3" s="48"/>
      <c r="V3" s="49"/>
      <c r="W3" s="49"/>
      <c r="Y3" s="48"/>
      <c r="Z3" s="49"/>
      <c r="AA3" s="49"/>
      <c r="AC3" s="48"/>
      <c r="AD3" s="49"/>
      <c r="AE3" s="49"/>
      <c r="AG3" s="49"/>
      <c r="AH3" s="49"/>
      <c r="AI3" s="49"/>
      <c r="AK3" s="53"/>
      <c r="AL3" s="49"/>
      <c r="AM3" s="54"/>
      <c r="AO3" s="55"/>
      <c r="AP3" s="49"/>
      <c r="AQ3" s="54"/>
    </row>
    <row r="4" spans="1:43">
      <c r="A4" s="49"/>
      <c r="B4" s="49" t="s">
        <v>336</v>
      </c>
      <c r="C4" s="49">
        <v>800</v>
      </c>
      <c r="E4" s="49"/>
      <c r="F4" s="49"/>
      <c r="G4" s="49"/>
      <c r="I4" s="49"/>
      <c r="J4" s="49"/>
      <c r="K4" s="49"/>
      <c r="M4" s="48"/>
      <c r="N4" s="49"/>
      <c r="O4" s="49"/>
      <c r="Q4" s="48" t="s">
        <v>337</v>
      </c>
      <c r="R4" s="49" t="s">
        <v>26</v>
      </c>
      <c r="S4" s="49">
        <v>1000</v>
      </c>
      <c r="U4" s="48"/>
      <c r="V4" s="49"/>
      <c r="W4" s="49"/>
      <c r="Y4" s="48"/>
      <c r="Z4" s="49"/>
      <c r="AA4" s="49"/>
      <c r="AC4" s="48" t="s">
        <v>338</v>
      </c>
      <c r="AD4" s="49" t="s">
        <v>339</v>
      </c>
      <c r="AE4" s="49">
        <v>120</v>
      </c>
      <c r="AG4" s="49"/>
      <c r="AH4" s="49"/>
      <c r="AI4" s="49"/>
      <c r="AK4" s="53"/>
      <c r="AL4" s="49"/>
      <c r="AM4" s="54"/>
      <c r="AO4" s="55"/>
      <c r="AP4" s="49"/>
      <c r="AQ4" s="54"/>
    </row>
    <row r="5" spans="1:43">
      <c r="A5" s="49"/>
      <c r="B5" s="49" t="s">
        <v>340</v>
      </c>
      <c r="C5" s="49">
        <v>32</v>
      </c>
      <c r="E5" s="49" t="s">
        <v>341</v>
      </c>
      <c r="F5" s="49" t="s">
        <v>342</v>
      </c>
      <c r="G5" s="49">
        <v>14</v>
      </c>
      <c r="I5" s="49" t="s">
        <v>343</v>
      </c>
      <c r="J5" s="49" t="s">
        <v>255</v>
      </c>
      <c r="K5" s="49">
        <v>2200</v>
      </c>
      <c r="M5" s="48" t="s">
        <v>344</v>
      </c>
      <c r="N5" s="49" t="s">
        <v>26</v>
      </c>
      <c r="O5" s="49">
        <v>1000</v>
      </c>
      <c r="Q5" s="48"/>
      <c r="R5" s="49"/>
      <c r="S5" s="49"/>
      <c r="U5" s="48"/>
      <c r="V5" s="49"/>
      <c r="W5" s="49"/>
      <c r="Y5" s="48"/>
      <c r="Z5" s="49"/>
      <c r="AA5" s="49"/>
      <c r="AC5" s="48"/>
      <c r="AD5" s="49" t="s">
        <v>345</v>
      </c>
      <c r="AE5" s="49"/>
      <c r="AG5" s="49"/>
      <c r="AH5" s="49"/>
      <c r="AI5" s="49"/>
      <c r="AK5" s="53"/>
      <c r="AL5" s="49"/>
      <c r="AM5" s="54"/>
      <c r="AO5" s="55"/>
      <c r="AP5" s="49"/>
      <c r="AQ5" s="54"/>
    </row>
    <row r="6" spans="1:43" ht="15.75" customHeight="1">
      <c r="A6" s="49"/>
      <c r="B6" s="49"/>
      <c r="C6" s="49"/>
      <c r="E6" s="49"/>
      <c r="F6" s="49"/>
      <c r="G6" s="49"/>
      <c r="I6" s="49"/>
      <c r="J6" s="49"/>
      <c r="K6" s="49"/>
      <c r="M6" s="48"/>
      <c r="N6" s="49"/>
      <c r="O6" s="49"/>
      <c r="Q6" s="48"/>
      <c r="R6" s="49"/>
      <c r="S6" s="49"/>
      <c r="U6" s="48"/>
      <c r="V6" s="49"/>
      <c r="W6" s="49"/>
      <c r="Y6" s="48"/>
      <c r="Z6" s="49"/>
      <c r="AA6" s="49"/>
      <c r="AC6" s="48"/>
      <c r="AD6" s="49"/>
      <c r="AE6" s="49"/>
      <c r="AG6" s="49"/>
      <c r="AH6" s="49"/>
      <c r="AI6" s="49"/>
      <c r="AK6" s="53"/>
      <c r="AL6" s="49"/>
      <c r="AM6" s="54"/>
      <c r="AO6" s="55"/>
      <c r="AP6" s="49"/>
      <c r="AQ6" s="54"/>
    </row>
    <row r="7" spans="1:43" ht="15.75" customHeight="1">
      <c r="A7" s="49"/>
      <c r="B7" s="49"/>
      <c r="C7" s="49"/>
      <c r="E7" s="49"/>
      <c r="F7" s="49"/>
      <c r="G7" s="49"/>
      <c r="I7" s="49" t="s">
        <v>346</v>
      </c>
      <c r="J7" s="49" t="s">
        <v>26</v>
      </c>
      <c r="K7" s="49">
        <v>271000</v>
      </c>
      <c r="M7" s="48" t="s">
        <v>347</v>
      </c>
      <c r="N7" s="49" t="s">
        <v>26</v>
      </c>
      <c r="O7" s="49">
        <v>1000</v>
      </c>
      <c r="Q7" s="48" t="s">
        <v>348</v>
      </c>
      <c r="R7" s="49" t="s">
        <v>349</v>
      </c>
      <c r="S7" s="49">
        <v>1000</v>
      </c>
      <c r="U7" s="48"/>
      <c r="V7" s="49"/>
      <c r="W7" s="49"/>
      <c r="Y7" s="48"/>
      <c r="Z7" s="49"/>
      <c r="AA7" s="49"/>
      <c r="AC7" s="48"/>
      <c r="AD7" s="49"/>
      <c r="AE7" s="49"/>
      <c r="AG7" s="49"/>
      <c r="AH7" s="49"/>
      <c r="AI7" s="49"/>
      <c r="AK7" s="53"/>
      <c r="AL7" s="49"/>
      <c r="AM7" s="54"/>
      <c r="AO7" s="55"/>
      <c r="AP7" s="49"/>
      <c r="AQ7" s="54"/>
    </row>
    <row r="8" spans="1:43" ht="15.75" customHeight="1">
      <c r="A8" s="49" t="s">
        <v>350</v>
      </c>
      <c r="B8" s="49" t="s">
        <v>351</v>
      </c>
      <c r="C8" s="49">
        <v>50</v>
      </c>
      <c r="E8" s="49"/>
      <c r="F8" s="49"/>
      <c r="G8" s="49"/>
      <c r="I8" s="49"/>
      <c r="J8" s="49"/>
      <c r="K8" s="49"/>
      <c r="M8" s="48"/>
      <c r="N8" s="49"/>
      <c r="O8" s="49"/>
      <c r="Q8" s="48"/>
      <c r="R8" s="49"/>
      <c r="S8" s="49"/>
      <c r="U8" s="48"/>
      <c r="V8" s="49"/>
      <c r="W8" s="49"/>
      <c r="Y8" s="48"/>
      <c r="Z8" s="49"/>
      <c r="AA8" s="49"/>
      <c r="AC8" s="48"/>
      <c r="AD8" s="49"/>
      <c r="AE8" s="49"/>
      <c r="AG8" s="49"/>
      <c r="AH8" s="49"/>
      <c r="AI8" s="49"/>
      <c r="AK8" s="53"/>
      <c r="AL8" s="49"/>
      <c r="AM8" s="54"/>
      <c r="AO8" s="55"/>
      <c r="AP8" s="49"/>
      <c r="AQ8" s="54"/>
    </row>
    <row r="9" spans="1:43" ht="15.75" customHeight="1">
      <c r="A9" s="49"/>
      <c r="B9" s="49"/>
      <c r="C9" s="49"/>
      <c r="E9" s="49" t="s">
        <v>352</v>
      </c>
      <c r="F9" s="49"/>
      <c r="G9" s="49"/>
      <c r="I9" s="49" t="s">
        <v>301</v>
      </c>
      <c r="J9" s="49" t="s">
        <v>26</v>
      </c>
      <c r="K9" s="49">
        <v>270000</v>
      </c>
      <c r="M9" s="48" t="s">
        <v>353</v>
      </c>
      <c r="N9" s="49"/>
      <c r="O9" s="49"/>
      <c r="Q9" s="48"/>
      <c r="R9" s="49"/>
      <c r="S9" s="49"/>
      <c r="U9" s="48"/>
      <c r="V9" s="49"/>
      <c r="W9" s="49"/>
      <c r="Y9" s="48"/>
      <c r="Z9" s="49"/>
      <c r="AA9" s="49"/>
      <c r="AC9" s="48"/>
      <c r="AD9" s="49"/>
      <c r="AE9" s="49"/>
      <c r="AG9" s="49"/>
      <c r="AH9" s="49"/>
      <c r="AI9" s="49"/>
      <c r="AK9" s="53"/>
      <c r="AL9" s="49"/>
      <c r="AM9" s="54"/>
      <c r="AO9" s="55"/>
      <c r="AP9" s="49"/>
      <c r="AQ9" s="54"/>
    </row>
    <row r="10" spans="1:43">
      <c r="A10" s="49"/>
      <c r="B10" s="49"/>
      <c r="C10" s="49"/>
      <c r="E10" s="49"/>
      <c r="F10" s="49"/>
      <c r="G10" s="49"/>
      <c r="I10" s="49"/>
      <c r="J10" s="49"/>
      <c r="K10" s="49"/>
      <c r="M10" s="48"/>
      <c r="N10" s="49"/>
      <c r="O10" s="49"/>
      <c r="Q10" s="48"/>
      <c r="R10" s="49"/>
      <c r="S10" s="49"/>
      <c r="U10" s="48"/>
      <c r="V10" s="49"/>
      <c r="W10" s="49"/>
      <c r="Y10" s="48"/>
      <c r="Z10" s="49"/>
      <c r="AA10" s="49"/>
      <c r="AC10" s="48"/>
      <c r="AD10" s="49"/>
      <c r="AE10" s="49"/>
      <c r="AG10" s="49"/>
      <c r="AH10" s="49"/>
      <c r="AI10" s="49"/>
      <c r="AK10" s="53"/>
      <c r="AL10" s="49"/>
      <c r="AM10" s="54"/>
      <c r="AO10" s="55"/>
      <c r="AP10" s="49"/>
      <c r="AQ10" s="54"/>
    </row>
    <row r="11" spans="1:43">
      <c r="A11" s="49" t="s">
        <v>354</v>
      </c>
      <c r="B11" s="49" t="s">
        <v>294</v>
      </c>
      <c r="C11" s="49">
        <v>56</v>
      </c>
      <c r="E11" s="49"/>
      <c r="F11" s="49"/>
      <c r="G11" s="49"/>
      <c r="I11" s="49" t="s">
        <v>306</v>
      </c>
      <c r="J11" s="49" t="s">
        <v>26</v>
      </c>
      <c r="K11" s="49">
        <v>270000</v>
      </c>
      <c r="M11" s="48"/>
      <c r="N11" s="49"/>
      <c r="O11" s="49"/>
      <c r="Q11" s="48"/>
      <c r="R11" s="49"/>
      <c r="S11" s="49"/>
      <c r="U11" s="48"/>
      <c r="V11" s="49"/>
      <c r="W11" s="49"/>
      <c r="Y11" s="48" t="s">
        <v>355</v>
      </c>
      <c r="Z11" s="49" t="s">
        <v>356</v>
      </c>
      <c r="AA11" s="49">
        <v>2</v>
      </c>
      <c r="AC11" s="48"/>
      <c r="AD11" s="49"/>
      <c r="AE11" s="49"/>
      <c r="AG11" s="49"/>
      <c r="AH11" s="49"/>
      <c r="AI11" s="49"/>
      <c r="AK11" s="53"/>
      <c r="AL11" s="49"/>
      <c r="AM11" s="54"/>
      <c r="AO11" s="53"/>
      <c r="AP11" s="49"/>
      <c r="AQ11" s="54"/>
    </row>
    <row r="12" spans="1:43">
      <c r="A12" s="49"/>
      <c r="B12" s="49" t="s">
        <v>357</v>
      </c>
      <c r="C12" s="49">
        <v>200</v>
      </c>
      <c r="E12" s="49"/>
      <c r="F12" s="49"/>
      <c r="G12" s="49"/>
      <c r="I12" s="49"/>
      <c r="J12" s="49"/>
      <c r="K12" s="49"/>
      <c r="M12" s="48" t="s">
        <v>358</v>
      </c>
      <c r="N12" s="49"/>
      <c r="O12" s="49"/>
      <c r="Q12" s="48"/>
      <c r="R12" s="49"/>
      <c r="S12" s="49"/>
      <c r="U12" s="48"/>
      <c r="V12" s="49"/>
      <c r="W12" s="49"/>
      <c r="Y12" s="48"/>
      <c r="Z12" s="49"/>
      <c r="AA12" s="49"/>
      <c r="AC12" s="48"/>
      <c r="AD12" s="49"/>
      <c r="AE12" s="49"/>
      <c r="AG12" s="49"/>
      <c r="AH12" s="49"/>
      <c r="AI12" s="49"/>
      <c r="AK12" s="53"/>
      <c r="AL12" s="49"/>
      <c r="AM12" s="54"/>
      <c r="AO12" s="53"/>
      <c r="AP12" s="49"/>
      <c r="AQ12" s="54"/>
    </row>
    <row r="13" spans="1:43">
      <c r="A13" s="49"/>
      <c r="B13" s="49" t="s">
        <v>359</v>
      </c>
      <c r="C13" s="49">
        <v>20</v>
      </c>
      <c r="E13" s="49" t="s">
        <v>360</v>
      </c>
      <c r="F13" s="49" t="s">
        <v>361</v>
      </c>
      <c r="G13" s="49">
        <v>6</v>
      </c>
      <c r="I13" s="49" t="s">
        <v>311</v>
      </c>
      <c r="J13" s="49" t="s">
        <v>26</v>
      </c>
      <c r="K13" s="49">
        <v>270000</v>
      </c>
      <c r="M13" s="48"/>
      <c r="N13" s="49"/>
      <c r="O13" s="49"/>
      <c r="Q13" s="48"/>
      <c r="R13" s="49"/>
      <c r="S13" s="49"/>
      <c r="U13" s="48"/>
      <c r="V13" s="49"/>
      <c r="W13" s="49"/>
      <c r="Y13" s="48"/>
      <c r="Z13" s="49"/>
      <c r="AA13" s="49"/>
      <c r="AC13" s="48"/>
      <c r="AD13" s="49"/>
      <c r="AE13" s="49"/>
      <c r="AG13" s="49"/>
      <c r="AH13" s="49"/>
      <c r="AI13" s="49"/>
      <c r="AK13" s="53"/>
      <c r="AL13" s="49"/>
      <c r="AM13" s="54"/>
      <c r="AO13" s="53"/>
      <c r="AP13" s="49"/>
      <c r="AQ13" s="54"/>
    </row>
    <row r="14" spans="1:43">
      <c r="A14" s="49"/>
      <c r="B14" s="49"/>
      <c r="C14" s="49"/>
      <c r="E14" s="49"/>
      <c r="F14" s="49"/>
      <c r="G14" s="49"/>
      <c r="I14" s="49"/>
      <c r="J14" s="49"/>
      <c r="K14" s="49"/>
      <c r="M14" s="48"/>
      <c r="N14" s="49"/>
      <c r="O14" s="49"/>
      <c r="Q14" s="48"/>
      <c r="R14" s="49"/>
      <c r="S14" s="49"/>
      <c r="U14" s="48"/>
      <c r="V14" s="49"/>
      <c r="W14" s="49"/>
      <c r="Y14" s="48"/>
      <c r="Z14" s="49"/>
      <c r="AA14" s="49"/>
      <c r="AC14" s="48"/>
      <c r="AD14" s="49"/>
      <c r="AE14" s="49"/>
      <c r="AG14" s="49"/>
      <c r="AH14" s="49"/>
      <c r="AI14" s="49"/>
      <c r="AK14" s="53"/>
      <c r="AL14" s="49"/>
      <c r="AM14" s="54"/>
      <c r="AO14" s="53"/>
      <c r="AP14" s="49"/>
      <c r="AQ14" s="54"/>
    </row>
    <row r="15" spans="1:43">
      <c r="A15" s="49"/>
      <c r="B15" s="49"/>
      <c r="C15" s="49"/>
      <c r="E15" s="49"/>
      <c r="F15" s="49"/>
      <c r="G15" s="49"/>
      <c r="I15" s="49" t="s">
        <v>362</v>
      </c>
      <c r="J15" s="49" t="s">
        <v>26</v>
      </c>
      <c r="K15" s="49">
        <v>4000</v>
      </c>
      <c r="M15" s="48"/>
      <c r="N15" s="49"/>
      <c r="O15" s="49"/>
      <c r="Q15" s="48"/>
      <c r="R15" s="49"/>
      <c r="S15" s="49"/>
      <c r="U15" s="48"/>
      <c r="V15" s="49"/>
      <c r="W15" s="49"/>
      <c r="Y15" s="48"/>
      <c r="Z15" s="49"/>
      <c r="AA15" s="49"/>
      <c r="AC15" s="48"/>
      <c r="AD15" s="49"/>
      <c r="AE15" s="49"/>
      <c r="AG15" s="49"/>
      <c r="AH15" s="49"/>
      <c r="AI15" s="49"/>
      <c r="AK15" s="53"/>
      <c r="AL15" s="49"/>
      <c r="AM15" s="54"/>
      <c r="AO15" s="53"/>
      <c r="AP15" s="49"/>
      <c r="AQ15" s="54"/>
    </row>
    <row r="16" spans="1:43">
      <c r="A16" s="49" t="s">
        <v>363</v>
      </c>
      <c r="B16" s="49" t="s">
        <v>364</v>
      </c>
      <c r="C16" s="49">
        <v>110</v>
      </c>
      <c r="E16" s="49"/>
      <c r="F16" s="49"/>
      <c r="G16" s="49"/>
      <c r="I16" s="49"/>
      <c r="J16" s="49"/>
      <c r="K16" s="49"/>
      <c r="M16" s="48"/>
      <c r="N16" s="49"/>
      <c r="O16" s="49"/>
      <c r="Q16" s="48"/>
      <c r="R16" s="49"/>
      <c r="S16" s="49"/>
      <c r="U16" s="48"/>
      <c r="V16" s="49"/>
      <c r="W16" s="49"/>
      <c r="Y16" s="48"/>
      <c r="Z16" s="49"/>
      <c r="AA16" s="49"/>
      <c r="AC16" s="48"/>
      <c r="AD16" s="49"/>
      <c r="AE16" s="49"/>
      <c r="AG16" s="49"/>
      <c r="AH16" s="49"/>
      <c r="AI16" s="49"/>
      <c r="AK16" s="53"/>
      <c r="AL16" s="49"/>
      <c r="AM16" s="54"/>
      <c r="AO16" s="53"/>
      <c r="AP16" s="49"/>
      <c r="AQ16" s="54"/>
    </row>
    <row r="17" spans="1:43">
      <c r="A17" s="49"/>
      <c r="B17" s="49" t="s">
        <v>365</v>
      </c>
      <c r="C17" s="49">
        <v>30</v>
      </c>
      <c r="E17" s="49"/>
      <c r="F17" s="49"/>
      <c r="G17" s="49"/>
      <c r="I17" s="49" t="s">
        <v>366</v>
      </c>
      <c r="J17" s="49" t="s">
        <v>26</v>
      </c>
      <c r="K17" s="49">
        <v>2000</v>
      </c>
      <c r="M17" s="48"/>
      <c r="N17" s="49"/>
      <c r="O17" s="49"/>
      <c r="Q17" s="48"/>
      <c r="R17" s="49"/>
      <c r="S17" s="49"/>
      <c r="U17" s="48"/>
      <c r="V17" s="49"/>
      <c r="W17" s="49"/>
      <c r="Y17" s="48"/>
      <c r="Z17" s="49"/>
      <c r="AA17" s="49"/>
      <c r="AC17" s="48"/>
      <c r="AD17" s="49"/>
      <c r="AE17" s="49"/>
      <c r="AG17" s="49"/>
      <c r="AH17" s="49"/>
      <c r="AI17" s="49"/>
      <c r="AK17" s="53"/>
      <c r="AL17" s="49"/>
      <c r="AM17" s="54"/>
      <c r="AO17" s="53"/>
      <c r="AP17" s="49"/>
      <c r="AQ17" s="54"/>
    </row>
    <row r="18" spans="1:43">
      <c r="A18" s="49"/>
      <c r="B18" s="49" t="s">
        <v>367</v>
      </c>
      <c r="C18" s="49">
        <v>4</v>
      </c>
      <c r="E18" s="49"/>
      <c r="F18" s="49"/>
      <c r="G18" s="49"/>
      <c r="I18" s="49"/>
      <c r="J18" s="49"/>
      <c r="K18" s="49"/>
      <c r="M18" s="48"/>
      <c r="N18" s="49"/>
      <c r="O18" s="49"/>
      <c r="Q18" s="48"/>
      <c r="R18" s="49"/>
      <c r="S18" s="49"/>
      <c r="U18" s="48"/>
      <c r="V18" s="49"/>
      <c r="W18" s="49"/>
      <c r="Y18" s="48"/>
      <c r="Z18" s="49"/>
      <c r="AA18" s="49"/>
      <c r="AC18" s="48"/>
      <c r="AD18" s="49"/>
      <c r="AE18" s="49"/>
      <c r="AG18" s="49"/>
      <c r="AH18" s="49"/>
      <c r="AI18" s="49"/>
      <c r="AK18" s="53"/>
      <c r="AL18" s="49"/>
      <c r="AM18" s="54"/>
      <c r="AO18" s="53"/>
      <c r="AP18" s="49"/>
      <c r="AQ18" s="54"/>
    </row>
    <row r="19" spans="1:43">
      <c r="A19" s="49"/>
      <c r="B19" s="49" t="s">
        <v>368</v>
      </c>
      <c r="C19" s="49">
        <v>84</v>
      </c>
      <c r="E19" s="49"/>
      <c r="F19" s="49"/>
      <c r="G19" s="49"/>
      <c r="I19" s="49"/>
      <c r="J19" s="49"/>
      <c r="K19" s="49"/>
      <c r="M19" s="48"/>
      <c r="N19" s="49"/>
      <c r="O19" s="49"/>
      <c r="Q19" s="48"/>
      <c r="R19" s="49"/>
      <c r="S19" s="49"/>
      <c r="U19" s="48"/>
      <c r="V19" s="49"/>
      <c r="W19" s="49"/>
      <c r="Y19" s="48"/>
      <c r="Z19" s="49"/>
      <c r="AA19" s="49"/>
      <c r="AC19" s="48"/>
      <c r="AD19" s="49"/>
      <c r="AE19" s="49"/>
      <c r="AG19" s="49"/>
      <c r="AH19" s="49"/>
      <c r="AI19" s="49"/>
      <c r="AK19" s="53"/>
      <c r="AL19" s="49"/>
      <c r="AM19" s="54"/>
      <c r="AO19" s="53"/>
      <c r="AP19" s="49"/>
      <c r="AQ19" s="54"/>
    </row>
    <row r="20" spans="1:43">
      <c r="A20" s="49"/>
      <c r="B20" s="49"/>
      <c r="C20" s="49"/>
      <c r="E20" s="49"/>
      <c r="F20" s="49"/>
      <c r="G20" s="49"/>
      <c r="I20" s="49"/>
      <c r="J20" s="49"/>
      <c r="K20" s="49"/>
      <c r="M20" s="48"/>
      <c r="N20" s="49"/>
      <c r="O20" s="49"/>
      <c r="Q20" s="48"/>
      <c r="R20" s="49"/>
      <c r="S20" s="49"/>
      <c r="U20" s="48"/>
      <c r="V20" s="49"/>
      <c r="W20" s="49"/>
      <c r="Y20" s="48"/>
      <c r="Z20" s="49"/>
      <c r="AA20" s="49"/>
      <c r="AC20" s="48"/>
      <c r="AD20" s="49"/>
      <c r="AE20" s="49"/>
      <c r="AG20" s="49"/>
      <c r="AH20" s="49"/>
      <c r="AI20" s="49"/>
      <c r="AK20" s="53"/>
      <c r="AL20" s="49"/>
      <c r="AM20" s="54"/>
      <c r="AO20" s="53"/>
      <c r="AP20" s="49"/>
      <c r="AQ20" s="54"/>
    </row>
    <row r="21" spans="1:43">
      <c r="A21" s="49" t="s">
        <v>369</v>
      </c>
      <c r="B21" s="49" t="s">
        <v>370</v>
      </c>
      <c r="C21" s="49">
        <v>20</v>
      </c>
      <c r="E21" s="49"/>
      <c r="F21" s="49"/>
      <c r="G21" s="49"/>
      <c r="I21" s="49" t="s">
        <v>308</v>
      </c>
      <c r="J21" s="49" t="s">
        <v>26</v>
      </c>
      <c r="K21" s="49">
        <v>2000</v>
      </c>
      <c r="M21" s="48"/>
      <c r="N21" s="49"/>
      <c r="O21" s="49"/>
      <c r="Q21" s="48"/>
      <c r="R21" s="49"/>
      <c r="S21" s="49"/>
      <c r="U21" s="48"/>
      <c r="V21" s="49"/>
      <c r="W21" s="49"/>
      <c r="Y21" s="48"/>
      <c r="Z21" s="49"/>
      <c r="AA21" s="49"/>
      <c r="AC21" s="48"/>
      <c r="AD21" s="49"/>
      <c r="AE21" s="49"/>
      <c r="AG21" s="49"/>
      <c r="AH21" s="49"/>
      <c r="AI21" s="49"/>
      <c r="AK21" s="53"/>
      <c r="AL21" s="49"/>
      <c r="AM21" s="54"/>
      <c r="AO21" s="53"/>
      <c r="AP21" s="49"/>
      <c r="AQ21" s="54"/>
    </row>
    <row r="22" spans="1:43">
      <c r="A22" s="49"/>
      <c r="B22" s="49" t="s">
        <v>371</v>
      </c>
      <c r="C22" s="49"/>
      <c r="E22" s="49"/>
      <c r="F22" s="49"/>
      <c r="G22" s="49"/>
      <c r="I22" s="49"/>
      <c r="J22" s="49"/>
      <c r="K22" s="49"/>
      <c r="M22" s="48"/>
      <c r="N22" s="49"/>
      <c r="O22" s="49"/>
      <c r="Q22" s="48"/>
      <c r="R22" s="49"/>
      <c r="S22" s="49"/>
      <c r="U22" s="48"/>
      <c r="V22" s="49"/>
      <c r="W22" s="49"/>
      <c r="Y22" s="48"/>
      <c r="Z22" s="49"/>
      <c r="AA22" s="49"/>
      <c r="AC22" s="48"/>
      <c r="AD22" s="49"/>
      <c r="AE22" s="49"/>
      <c r="AG22" s="49"/>
      <c r="AH22" s="49"/>
      <c r="AI22" s="49"/>
      <c r="AK22" s="53"/>
      <c r="AL22" s="49"/>
      <c r="AM22" s="54"/>
      <c r="AO22" s="53"/>
      <c r="AP22" s="49"/>
      <c r="AQ22" s="54"/>
    </row>
    <row r="23" spans="1:43">
      <c r="A23" s="49"/>
      <c r="B23" s="49"/>
      <c r="C23" s="49"/>
      <c r="E23" s="49"/>
      <c r="F23" s="49"/>
      <c r="G23" s="49"/>
      <c r="I23" s="49"/>
      <c r="J23" s="49"/>
      <c r="K23" s="49"/>
      <c r="M23" s="48"/>
      <c r="N23" s="49"/>
      <c r="O23" s="49"/>
      <c r="Q23" s="48"/>
      <c r="R23" s="49"/>
      <c r="S23" s="49"/>
      <c r="U23" s="48"/>
      <c r="V23" s="49"/>
      <c r="W23" s="49"/>
      <c r="Y23" s="48"/>
      <c r="Z23" s="49"/>
      <c r="AA23" s="49"/>
      <c r="AC23" s="48"/>
      <c r="AD23" s="49"/>
      <c r="AE23" s="49"/>
      <c r="AG23" s="49"/>
      <c r="AH23" s="49"/>
      <c r="AI23" s="49"/>
      <c r="AK23" s="53"/>
      <c r="AL23" s="49"/>
      <c r="AM23" s="54"/>
      <c r="AO23" s="53"/>
      <c r="AP23" s="49"/>
      <c r="AQ23" s="54"/>
    </row>
    <row r="24" spans="1:43">
      <c r="A24" s="49" t="s">
        <v>372</v>
      </c>
      <c r="B24" s="49" t="s">
        <v>373</v>
      </c>
      <c r="C24" s="49">
        <v>100</v>
      </c>
      <c r="E24" s="49"/>
      <c r="F24" s="49"/>
      <c r="G24" s="49"/>
      <c r="I24" s="49"/>
      <c r="J24" s="49"/>
      <c r="K24" s="49"/>
      <c r="M24" s="48"/>
      <c r="N24" s="49"/>
      <c r="O24" s="49"/>
      <c r="Q24" s="48"/>
      <c r="R24" s="49"/>
      <c r="S24" s="49"/>
      <c r="U24" s="48"/>
      <c r="V24" s="49"/>
      <c r="W24" s="49"/>
      <c r="Y24" s="48"/>
      <c r="Z24" s="49"/>
      <c r="AA24" s="49"/>
      <c r="AC24" s="48"/>
      <c r="AD24" s="49"/>
      <c r="AE24" s="49"/>
      <c r="AG24" s="49"/>
      <c r="AH24" s="49"/>
      <c r="AI24" s="49"/>
      <c r="AK24" s="53"/>
      <c r="AL24" s="49"/>
      <c r="AM24" s="54"/>
      <c r="AO24" s="53"/>
      <c r="AP24" s="49"/>
      <c r="AQ24" s="54"/>
    </row>
    <row r="25" spans="1:43">
      <c r="A25" s="49"/>
      <c r="B25" s="49" t="s">
        <v>374</v>
      </c>
      <c r="C25" s="49">
        <v>30</v>
      </c>
      <c r="E25" s="49"/>
      <c r="F25" s="49"/>
      <c r="G25" s="49"/>
      <c r="I25" s="49"/>
      <c r="J25" s="49"/>
      <c r="K25" s="49"/>
      <c r="M25" s="48"/>
      <c r="N25" s="49"/>
      <c r="O25" s="49"/>
      <c r="Q25" s="48"/>
      <c r="R25" s="49"/>
      <c r="S25" s="49"/>
      <c r="U25" s="48"/>
      <c r="V25" s="49"/>
      <c r="W25" s="49"/>
      <c r="Y25" s="48"/>
      <c r="Z25" s="49"/>
      <c r="AA25" s="49"/>
      <c r="AC25" s="48"/>
      <c r="AD25" s="49"/>
      <c r="AE25" s="49"/>
      <c r="AG25" s="49"/>
      <c r="AH25" s="49"/>
      <c r="AI25" s="49"/>
      <c r="AK25" s="53"/>
      <c r="AL25" s="49"/>
      <c r="AM25" s="54"/>
      <c r="AO25" s="53"/>
      <c r="AP25" s="49"/>
      <c r="AQ25" s="54"/>
    </row>
    <row r="26" spans="1:43">
      <c r="A26" s="49"/>
      <c r="B26" s="49" t="s">
        <v>375</v>
      </c>
      <c r="C26" s="49">
        <v>4</v>
      </c>
      <c r="E26" s="49"/>
      <c r="F26" s="49"/>
      <c r="G26" s="49"/>
      <c r="I26" s="49"/>
      <c r="J26" s="49"/>
      <c r="K26" s="49"/>
      <c r="M26" s="48"/>
      <c r="N26" s="49"/>
      <c r="O26" s="49"/>
      <c r="Q26" s="48"/>
      <c r="R26" s="49"/>
      <c r="S26" s="49"/>
      <c r="U26" s="48"/>
      <c r="V26" s="49"/>
      <c r="W26" s="49"/>
      <c r="Y26" s="48"/>
      <c r="Z26" s="49"/>
      <c r="AA26" s="49"/>
      <c r="AC26" s="48"/>
      <c r="AD26" s="49"/>
      <c r="AE26" s="49"/>
      <c r="AG26" s="49"/>
      <c r="AH26" s="49"/>
      <c r="AI26" s="49"/>
      <c r="AK26" s="53"/>
      <c r="AL26" s="49"/>
      <c r="AM26" s="54"/>
      <c r="AO26" s="53"/>
      <c r="AP26" s="49"/>
      <c r="AQ26" s="54"/>
    </row>
    <row r="27" spans="1:43">
      <c r="A27" s="49"/>
      <c r="B27" s="49"/>
      <c r="C27" s="49"/>
      <c r="E27" s="49"/>
      <c r="F27" s="49"/>
      <c r="G27" s="49"/>
      <c r="I27" s="49"/>
      <c r="J27" s="49"/>
      <c r="K27" s="49"/>
      <c r="M27" s="48"/>
      <c r="N27" s="49"/>
      <c r="O27" s="49"/>
      <c r="Q27" s="48"/>
      <c r="R27" s="49"/>
      <c r="S27" s="49"/>
      <c r="U27" s="48"/>
      <c r="V27" s="49"/>
      <c r="W27" s="49"/>
      <c r="Y27" s="48"/>
      <c r="Z27" s="49"/>
      <c r="AA27" s="49"/>
      <c r="AC27" s="48"/>
      <c r="AD27" s="49"/>
      <c r="AE27" s="49"/>
      <c r="AG27" s="49"/>
      <c r="AH27" s="49"/>
      <c r="AI27" s="49"/>
      <c r="AK27" s="53"/>
      <c r="AL27" s="49"/>
      <c r="AM27" s="54"/>
      <c r="AO27" s="53"/>
      <c r="AP27" s="49"/>
      <c r="AQ27" s="54"/>
    </row>
    <row r="28" spans="1:43">
      <c r="A28" s="49"/>
      <c r="B28" s="49"/>
      <c r="C28" s="49"/>
      <c r="E28" s="49"/>
      <c r="F28" s="49"/>
      <c r="G28" s="49"/>
      <c r="I28" s="49"/>
      <c r="J28" s="49"/>
      <c r="K28" s="49"/>
      <c r="M28" s="48"/>
      <c r="N28" s="49"/>
      <c r="O28" s="49"/>
      <c r="Q28" s="48"/>
      <c r="R28" s="49"/>
      <c r="S28" s="49"/>
      <c r="U28" s="48"/>
      <c r="V28" s="49"/>
      <c r="W28" s="49"/>
      <c r="Y28" s="48"/>
      <c r="Z28" s="49"/>
      <c r="AA28" s="49"/>
      <c r="AC28" s="48"/>
      <c r="AD28" s="49"/>
      <c r="AE28" s="49"/>
      <c r="AG28" s="49"/>
      <c r="AH28" s="49"/>
      <c r="AI28" s="49"/>
      <c r="AK28" s="53"/>
      <c r="AL28" s="49"/>
      <c r="AM28" s="54"/>
      <c r="AO28" s="53"/>
      <c r="AP28" s="49"/>
      <c r="AQ28" s="54"/>
    </row>
    <row r="29" spans="1:43">
      <c r="A29" s="49"/>
      <c r="B29" s="49"/>
      <c r="C29" s="49"/>
      <c r="E29" s="49"/>
      <c r="F29" s="49"/>
      <c r="G29" s="49"/>
      <c r="I29" s="49"/>
      <c r="J29" s="49"/>
      <c r="K29" s="49"/>
      <c r="M29" s="48"/>
      <c r="N29" s="49"/>
      <c r="O29" s="49"/>
      <c r="Q29" s="48"/>
      <c r="R29" s="49"/>
      <c r="S29" s="49"/>
      <c r="U29" s="48"/>
      <c r="V29" s="49"/>
      <c r="W29" s="49"/>
      <c r="Y29" s="48"/>
      <c r="Z29" s="49"/>
      <c r="AA29" s="49"/>
      <c r="AC29" s="48"/>
      <c r="AD29" s="49"/>
      <c r="AE29" s="49"/>
      <c r="AG29" s="49"/>
      <c r="AH29" s="49"/>
      <c r="AI29" s="49"/>
      <c r="AK29" s="53"/>
      <c r="AL29" s="49"/>
      <c r="AM29" s="54"/>
      <c r="AO29" s="53"/>
      <c r="AP29" s="49"/>
      <c r="AQ29" s="54"/>
    </row>
    <row r="30" spans="1:43">
      <c r="A30" s="49"/>
      <c r="B30" s="49" t="s">
        <v>51</v>
      </c>
      <c r="C30" s="49">
        <f>SUM(C2:C28)</f>
        <v>2190</v>
      </c>
      <c r="E30" s="49"/>
      <c r="F30" s="49"/>
      <c r="G30" s="49"/>
      <c r="I30" s="49"/>
      <c r="J30" s="49"/>
      <c r="K30" s="49"/>
      <c r="M30" s="48"/>
      <c r="N30" s="49"/>
      <c r="O30" s="49"/>
      <c r="Q30" s="48"/>
      <c r="R30" s="49"/>
      <c r="S30" s="49"/>
      <c r="U30" s="48"/>
      <c r="V30" s="49"/>
      <c r="W30" s="49"/>
      <c r="Y30" s="48"/>
      <c r="Z30" s="49"/>
      <c r="AA30" s="49"/>
      <c r="AC30" s="48"/>
      <c r="AD30" s="49"/>
      <c r="AE30" s="49"/>
      <c r="AG30" s="49"/>
      <c r="AH30" s="49"/>
      <c r="AI30" s="49"/>
      <c r="AK30" s="53"/>
      <c r="AL30" s="49"/>
      <c r="AM30" s="54"/>
      <c r="AO30" s="53"/>
      <c r="AP30" s="49"/>
      <c r="AQ30" s="54"/>
    </row>
    <row r="31" spans="1:43">
      <c r="AC31" s="48"/>
      <c r="AD31" s="49"/>
      <c r="AE31" s="49"/>
      <c r="AG31" s="49"/>
      <c r="AH31" s="49"/>
      <c r="AI31" s="49"/>
      <c r="AK31" s="53"/>
      <c r="AL31" s="49"/>
      <c r="AM31" s="54"/>
      <c r="AO31" s="53"/>
      <c r="AP31" s="49"/>
      <c r="AQ31" s="54"/>
    </row>
    <row r="32" spans="1:43">
      <c r="AC32" s="48"/>
      <c r="AD32" s="49"/>
      <c r="AE32" s="49"/>
      <c r="AG32" s="49"/>
      <c r="AH32" s="49"/>
      <c r="AI32" s="49"/>
      <c r="AK32" s="53"/>
      <c r="AL32" s="49"/>
      <c r="AM32" s="54"/>
      <c r="AO32" s="53"/>
      <c r="AP32" s="49"/>
      <c r="AQ32" s="54"/>
    </row>
    <row r="33" spans="29:43">
      <c r="AC33" s="48"/>
      <c r="AD33" s="49"/>
      <c r="AE33" s="49"/>
      <c r="AG33" s="49"/>
      <c r="AH33" s="49"/>
      <c r="AI33" s="49"/>
      <c r="AK33" s="53"/>
      <c r="AL33" s="49"/>
      <c r="AM33" s="54"/>
      <c r="AO33" s="53"/>
      <c r="AP33" s="49"/>
      <c r="AQ33" s="54"/>
    </row>
    <row r="34" spans="29:43">
      <c r="AC34" s="48"/>
      <c r="AD34" s="49"/>
      <c r="AE34" s="49"/>
      <c r="AG34" s="49"/>
      <c r="AH34" s="49"/>
      <c r="AI34" s="49"/>
      <c r="AK34" s="53"/>
      <c r="AL34" s="49"/>
      <c r="AM34" s="54"/>
      <c r="AO34" s="53"/>
      <c r="AP34" s="49"/>
      <c r="AQ34" s="54"/>
    </row>
    <row r="35" spans="29:43">
      <c r="AC35" s="48"/>
      <c r="AD35" s="49"/>
      <c r="AE35" s="49"/>
      <c r="AG35" s="49"/>
      <c r="AH35" s="49"/>
      <c r="AI35" s="49"/>
      <c r="AK35" s="56"/>
      <c r="AL35" s="57"/>
      <c r="AM35" s="58"/>
      <c r="AO35" s="56"/>
      <c r="AP35" s="57"/>
      <c r="AQ35" s="5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topLeftCell="B1" workbookViewId="0">
      <selection activeCell="C3" sqref="C3"/>
    </sheetView>
  </sheetViews>
  <sheetFormatPr defaultRowHeight="15"/>
  <cols>
    <col min="1" max="1" width="14" bestFit="1" customWidth="1"/>
    <col min="2" max="2" width="41" bestFit="1" customWidth="1"/>
    <col min="3" max="3" width="159.140625" style="3" customWidth="1"/>
  </cols>
  <sheetData>
    <row r="1" spans="1:3">
      <c r="A1" s="16" t="s">
        <v>317</v>
      </c>
      <c r="B1" s="16" t="s">
        <v>226</v>
      </c>
      <c r="C1" s="17" t="s">
        <v>376</v>
      </c>
    </row>
    <row r="2" spans="1:3">
      <c r="A2" s="5">
        <v>1</v>
      </c>
      <c r="B2" t="s">
        <v>377</v>
      </c>
      <c r="C2" s="3" t="s">
        <v>378</v>
      </c>
    </row>
    <row r="24" spans="1:1">
      <c r="A24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34"/>
  <sheetViews>
    <sheetView topLeftCell="A15" workbookViewId="0">
      <selection activeCell="D19" sqref="D19"/>
    </sheetView>
  </sheetViews>
  <sheetFormatPr defaultRowHeight="15"/>
  <cols>
    <col min="1" max="1" width="15.7109375" bestFit="1" customWidth="1"/>
    <col min="2" max="2" width="5.5703125" bestFit="1" customWidth="1"/>
    <col min="3" max="3" width="8.28515625" bestFit="1" customWidth="1"/>
    <col min="4" max="4" width="9" bestFit="1" customWidth="1"/>
    <col min="5" max="5" width="7.5703125" bestFit="1" customWidth="1"/>
    <col min="6" max="6" width="7.5703125" customWidth="1"/>
    <col min="8" max="8" width="15.7109375" bestFit="1" customWidth="1"/>
    <col min="9" max="9" width="5.5703125" bestFit="1" customWidth="1"/>
    <col min="10" max="10" width="8.28515625" bestFit="1" customWidth="1"/>
    <col min="11" max="11" width="9" bestFit="1" customWidth="1"/>
    <col min="12" max="12" width="7.5703125" bestFit="1" customWidth="1"/>
    <col min="14" max="14" width="15.7109375" bestFit="1" customWidth="1"/>
    <col min="15" max="15" width="5.5703125" bestFit="1" customWidth="1"/>
    <col min="16" max="16" width="8.28515625" bestFit="1" customWidth="1"/>
    <col min="17" max="17" width="9" bestFit="1" customWidth="1"/>
    <col min="18" max="18" width="7.5703125" bestFit="1" customWidth="1"/>
  </cols>
  <sheetData>
    <row r="2" spans="1:18" ht="26.25">
      <c r="A2" s="74" t="s">
        <v>379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6"/>
    </row>
    <row r="3" spans="1:18">
      <c r="A3" s="71" t="s">
        <v>51</v>
      </c>
      <c r="B3" s="72"/>
      <c r="C3" s="72"/>
      <c r="D3" s="72"/>
      <c r="E3" s="72"/>
      <c r="F3" s="72"/>
      <c r="G3" s="28"/>
      <c r="H3" s="72" t="s">
        <v>380</v>
      </c>
      <c r="I3" s="72"/>
      <c r="J3" s="72"/>
      <c r="K3" s="72"/>
      <c r="L3" s="72"/>
      <c r="M3" s="28"/>
      <c r="N3" s="72" t="s">
        <v>381</v>
      </c>
      <c r="O3" s="72"/>
      <c r="P3" s="72"/>
      <c r="Q3" s="72"/>
      <c r="R3" s="73"/>
    </row>
    <row r="4" spans="1:18">
      <c r="A4" s="29"/>
      <c r="B4" s="25" t="s">
        <v>382</v>
      </c>
      <c r="C4" s="25" t="s">
        <v>383</v>
      </c>
      <c r="D4" s="25" t="s">
        <v>384</v>
      </c>
      <c r="E4" s="25" t="s">
        <v>385</v>
      </c>
      <c r="F4" s="65" t="s">
        <v>386</v>
      </c>
      <c r="G4" s="28"/>
      <c r="H4" s="25"/>
      <c r="I4" s="25" t="s">
        <v>382</v>
      </c>
      <c r="J4" s="25" t="s">
        <v>383</v>
      </c>
      <c r="K4" s="25" t="s">
        <v>384</v>
      </c>
      <c r="L4" s="25" t="s">
        <v>385</v>
      </c>
      <c r="M4" s="28"/>
      <c r="N4" s="25"/>
      <c r="O4" s="25" t="s">
        <v>382</v>
      </c>
      <c r="P4" s="25" t="s">
        <v>383</v>
      </c>
      <c r="Q4" s="25" t="s">
        <v>384</v>
      </c>
      <c r="R4" s="30" t="s">
        <v>385</v>
      </c>
    </row>
    <row r="5" spans="1:18">
      <c r="A5" s="29" t="s">
        <v>387</v>
      </c>
      <c r="B5" s="26"/>
      <c r="C5" s="26"/>
      <c r="D5" s="26">
        <v>500</v>
      </c>
      <c r="E5" s="26">
        <v>0</v>
      </c>
      <c r="F5" s="26">
        <f>SUM(B5:E5)</f>
        <v>500</v>
      </c>
      <c r="G5" s="28"/>
      <c r="H5" s="25" t="s">
        <v>387</v>
      </c>
      <c r="I5" s="26"/>
      <c r="J5" s="26"/>
      <c r="K5" s="26"/>
      <c r="L5" s="26"/>
      <c r="M5" s="28"/>
      <c r="N5" s="25" t="s">
        <v>387</v>
      </c>
      <c r="O5" s="26">
        <f>SUM(B5-I5)</f>
        <v>0</v>
      </c>
      <c r="P5" s="26">
        <f>SUM(C5-J5)</f>
        <v>0</v>
      </c>
      <c r="Q5" s="26">
        <f>SUM(D5-K5)</f>
        <v>500</v>
      </c>
      <c r="R5" s="31">
        <f>SUM(E5-L5)</f>
        <v>0</v>
      </c>
    </row>
    <row r="6" spans="1:18">
      <c r="A6" s="29" t="s">
        <v>388</v>
      </c>
      <c r="B6" s="26"/>
      <c r="C6" s="26"/>
      <c r="D6" s="26">
        <v>50</v>
      </c>
      <c r="E6" s="26">
        <v>0</v>
      </c>
      <c r="F6" s="26">
        <f t="shared" ref="F6:F8" si="0">SUM(B6:E6)</f>
        <v>50</v>
      </c>
      <c r="G6" s="28"/>
      <c r="H6" s="25" t="s">
        <v>388</v>
      </c>
      <c r="I6" s="26"/>
      <c r="J6" s="26"/>
      <c r="K6" s="26"/>
      <c r="L6" s="26"/>
      <c r="M6" s="28"/>
      <c r="N6" s="25" t="s">
        <v>388</v>
      </c>
      <c r="O6" s="26">
        <f t="shared" ref="O6:O8" si="1">SUM(B6-I6)</f>
        <v>0</v>
      </c>
      <c r="P6" s="26">
        <f>SUM(C6-J6)</f>
        <v>0</v>
      </c>
      <c r="Q6" s="26">
        <f>SUM(D6-K6)</f>
        <v>50</v>
      </c>
      <c r="R6" s="31">
        <f>SUM(E6-L6)</f>
        <v>0</v>
      </c>
    </row>
    <row r="7" spans="1:18">
      <c r="A7" s="29" t="s">
        <v>389</v>
      </c>
      <c r="B7" s="26"/>
      <c r="C7" s="26"/>
      <c r="D7" s="26">
        <v>200</v>
      </c>
      <c r="E7" s="26">
        <v>0</v>
      </c>
      <c r="F7" s="26">
        <f t="shared" si="0"/>
        <v>200</v>
      </c>
      <c r="G7" s="28"/>
      <c r="H7" s="25" t="s">
        <v>389</v>
      </c>
      <c r="I7" s="26"/>
      <c r="J7" s="26"/>
      <c r="K7" s="26"/>
      <c r="L7" s="26"/>
      <c r="M7" s="28"/>
      <c r="N7" s="25" t="s">
        <v>389</v>
      </c>
      <c r="O7" s="26">
        <f t="shared" si="1"/>
        <v>0</v>
      </c>
      <c r="P7" s="26">
        <f>SUM(C7-J7)</f>
        <v>0</v>
      </c>
      <c r="Q7" s="26">
        <f>SUM(D7-K7)</f>
        <v>200</v>
      </c>
      <c r="R7" s="31">
        <f>SUM(E7-L7)</f>
        <v>0</v>
      </c>
    </row>
    <row r="8" spans="1:18">
      <c r="A8" s="29" t="s">
        <v>390</v>
      </c>
      <c r="B8" s="26"/>
      <c r="C8" s="26"/>
      <c r="D8" s="26"/>
      <c r="E8" s="26">
        <v>0</v>
      </c>
      <c r="F8" s="26">
        <f t="shared" si="0"/>
        <v>0</v>
      </c>
      <c r="G8" s="28"/>
      <c r="H8" s="25" t="s">
        <v>390</v>
      </c>
      <c r="I8" s="26"/>
      <c r="J8" s="26"/>
      <c r="K8" s="26"/>
      <c r="L8" s="26"/>
      <c r="M8" s="28"/>
      <c r="N8" s="25" t="s">
        <v>390</v>
      </c>
      <c r="O8" s="26">
        <f t="shared" si="1"/>
        <v>0</v>
      </c>
      <c r="P8" s="26">
        <f>SUM(C8-J8)</f>
        <v>0</v>
      </c>
      <c r="Q8" s="26">
        <f>SUM(D8-K8)</f>
        <v>0</v>
      </c>
      <c r="R8" s="31">
        <f>SUM(E8-L8)</f>
        <v>0</v>
      </c>
    </row>
    <row r="9" spans="1:18">
      <c r="A9" s="32" t="s">
        <v>386</v>
      </c>
      <c r="B9" s="26">
        <f>SUM(B5:B8)</f>
        <v>0</v>
      </c>
      <c r="C9" s="26">
        <f t="shared" ref="C9:F9" si="2">SUM(C5:C8)</f>
        <v>0</v>
      </c>
      <c r="D9" s="26">
        <f t="shared" si="2"/>
        <v>750</v>
      </c>
      <c r="E9" s="26">
        <f t="shared" si="2"/>
        <v>0</v>
      </c>
      <c r="F9" s="26">
        <f t="shared" si="2"/>
        <v>750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33"/>
    </row>
    <row r="10" spans="1:18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6"/>
    </row>
    <row r="15" spans="1:18" ht="26.25">
      <c r="A15" s="74" t="s">
        <v>391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6"/>
    </row>
    <row r="16" spans="1:18">
      <c r="A16" s="71" t="s">
        <v>51</v>
      </c>
      <c r="B16" s="72"/>
      <c r="C16" s="72"/>
      <c r="D16" s="72"/>
      <c r="E16" s="72"/>
      <c r="F16" s="72"/>
      <c r="G16" s="28"/>
      <c r="H16" s="72" t="s">
        <v>380</v>
      </c>
      <c r="I16" s="72"/>
      <c r="J16" s="72"/>
      <c r="K16" s="72"/>
      <c r="L16" s="72"/>
      <c r="M16" s="28"/>
      <c r="N16" s="72" t="s">
        <v>381</v>
      </c>
      <c r="O16" s="72"/>
      <c r="P16" s="72"/>
      <c r="Q16" s="72"/>
      <c r="R16" s="73"/>
    </row>
    <row r="17" spans="1:18">
      <c r="A17" s="29"/>
      <c r="B17" s="25" t="s">
        <v>382</v>
      </c>
      <c r="C17" s="25" t="s">
        <v>383</v>
      </c>
      <c r="D17" s="25" t="s">
        <v>384</v>
      </c>
      <c r="E17" s="25" t="s">
        <v>385</v>
      </c>
      <c r="F17" s="65" t="s">
        <v>386</v>
      </c>
      <c r="G17" s="28"/>
      <c r="H17" s="25"/>
      <c r="I17" s="25" t="s">
        <v>382</v>
      </c>
      <c r="J17" s="25" t="s">
        <v>383</v>
      </c>
      <c r="K17" s="25" t="s">
        <v>384</v>
      </c>
      <c r="L17" s="25" t="s">
        <v>385</v>
      </c>
      <c r="M17" s="28"/>
      <c r="N17" s="25"/>
      <c r="O17" s="25" t="s">
        <v>382</v>
      </c>
      <c r="P17" s="25" t="s">
        <v>383</v>
      </c>
      <c r="Q17" s="25" t="s">
        <v>384</v>
      </c>
      <c r="R17" s="30" t="s">
        <v>385</v>
      </c>
    </row>
    <row r="18" spans="1:18">
      <c r="A18" s="29" t="s">
        <v>387</v>
      </c>
      <c r="B18" s="26"/>
      <c r="C18" s="26">
        <v>2170</v>
      </c>
      <c r="D18" s="26">
        <v>3320</v>
      </c>
      <c r="E18" s="26">
        <v>0</v>
      </c>
      <c r="F18" s="26">
        <f>SUM(B18:E18)</f>
        <v>5490</v>
      </c>
      <c r="G18" s="28"/>
      <c r="H18" s="25" t="s">
        <v>387</v>
      </c>
      <c r="I18" s="26"/>
      <c r="J18" s="26">
        <v>2170</v>
      </c>
      <c r="K18" s="26"/>
      <c r="L18" s="26"/>
      <c r="M18" s="28"/>
      <c r="N18" s="25" t="s">
        <v>387</v>
      </c>
      <c r="O18" s="26">
        <f>SUM(B18-I18)</f>
        <v>0</v>
      </c>
      <c r="P18" s="26">
        <f>SUM(C18-J18)</f>
        <v>0</v>
      </c>
      <c r="Q18" s="26">
        <f>SUM(D18-K18)</f>
        <v>3320</v>
      </c>
      <c r="R18" s="31">
        <f>SUM(E18-L18)</f>
        <v>0</v>
      </c>
    </row>
    <row r="19" spans="1:18">
      <c r="A19" s="29" t="s">
        <v>388</v>
      </c>
      <c r="B19" s="26"/>
      <c r="C19" s="26">
        <v>48</v>
      </c>
      <c r="D19" s="26">
        <v>482</v>
      </c>
      <c r="E19" s="26">
        <v>0</v>
      </c>
      <c r="F19" s="26">
        <f t="shared" ref="F19:F21" si="3">SUM(B19:E19)</f>
        <v>530</v>
      </c>
      <c r="G19" s="28"/>
      <c r="H19" s="25" t="s">
        <v>388</v>
      </c>
      <c r="I19" s="26"/>
      <c r="J19" s="26">
        <v>48</v>
      </c>
      <c r="K19" s="26">
        <v>32</v>
      </c>
      <c r="L19" s="26"/>
      <c r="M19" s="28"/>
      <c r="N19" s="25" t="s">
        <v>388</v>
      </c>
      <c r="O19" s="26">
        <f t="shared" ref="O19:O21" si="4">SUM(B19-I19)</f>
        <v>0</v>
      </c>
      <c r="P19" s="26">
        <f>SUM(C19-J19)</f>
        <v>0</v>
      </c>
      <c r="Q19" s="26">
        <f>SUM(D19-K19)</f>
        <v>450</v>
      </c>
      <c r="R19" s="31">
        <f>SUM(E19-L19)</f>
        <v>0</v>
      </c>
    </row>
    <row r="20" spans="1:18">
      <c r="A20" s="29" t="s">
        <v>389</v>
      </c>
      <c r="B20" s="26"/>
      <c r="C20" s="26">
        <v>340</v>
      </c>
      <c r="D20" s="26">
        <v>888</v>
      </c>
      <c r="E20" s="26">
        <v>0</v>
      </c>
      <c r="F20" s="26">
        <f t="shared" si="3"/>
        <v>1228</v>
      </c>
      <c r="G20" s="28"/>
      <c r="H20" s="25" t="s">
        <v>389</v>
      </c>
      <c r="I20" s="26"/>
      <c r="J20" s="26">
        <v>48</v>
      </c>
      <c r="K20" s="26">
        <v>288</v>
      </c>
      <c r="L20" s="26"/>
      <c r="M20" s="28"/>
      <c r="N20" s="25" t="s">
        <v>389</v>
      </c>
      <c r="O20" s="26">
        <f t="shared" si="4"/>
        <v>0</v>
      </c>
      <c r="P20" s="26">
        <f>SUM(C20-J20)</f>
        <v>292</v>
      </c>
      <c r="Q20" s="26">
        <f>SUM(D20-K20)</f>
        <v>600</v>
      </c>
      <c r="R20" s="31">
        <f>SUM(E20-L20)</f>
        <v>0</v>
      </c>
    </row>
    <row r="21" spans="1:18">
      <c r="A21" s="29" t="s">
        <v>390</v>
      </c>
      <c r="B21" s="26">
        <v>500</v>
      </c>
      <c r="C21" s="26">
        <v>1000</v>
      </c>
      <c r="D21" s="26">
        <v>5000</v>
      </c>
      <c r="E21" s="26">
        <v>10000</v>
      </c>
      <c r="F21" s="26">
        <f t="shared" si="3"/>
        <v>16500</v>
      </c>
      <c r="G21" s="28"/>
      <c r="H21" s="25" t="s">
        <v>390</v>
      </c>
      <c r="I21" s="26">
        <v>340</v>
      </c>
      <c r="J21" s="26"/>
      <c r="K21" s="26"/>
      <c r="L21" s="26"/>
      <c r="M21" s="28"/>
      <c r="N21" s="25" t="s">
        <v>390</v>
      </c>
      <c r="O21" s="26">
        <f t="shared" si="4"/>
        <v>160</v>
      </c>
      <c r="P21" s="26">
        <f>SUM(C21-J21)</f>
        <v>1000</v>
      </c>
      <c r="Q21" s="26">
        <f>SUM(D21-K21)</f>
        <v>5000</v>
      </c>
      <c r="R21" s="31">
        <f>SUM(E21-L21)</f>
        <v>10000</v>
      </c>
    </row>
    <row r="22" spans="1:18">
      <c r="A22" s="32" t="s">
        <v>386</v>
      </c>
      <c r="B22" s="26">
        <f>SUM(B18:B21)</f>
        <v>500</v>
      </c>
      <c r="C22" s="26">
        <f t="shared" ref="C22:F22" si="5">SUM(C18:C21)</f>
        <v>3558</v>
      </c>
      <c r="D22" s="26">
        <f t="shared" si="5"/>
        <v>9690</v>
      </c>
      <c r="E22" s="26">
        <f t="shared" si="5"/>
        <v>10000</v>
      </c>
      <c r="F22" s="26">
        <f t="shared" si="5"/>
        <v>23748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33"/>
    </row>
    <row r="23" spans="1:18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/>
    </row>
    <row r="26" spans="1:18" ht="26.25">
      <c r="A26" s="74" t="s">
        <v>392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6"/>
    </row>
    <row r="27" spans="1:18">
      <c r="A27" s="71" t="s">
        <v>51</v>
      </c>
      <c r="B27" s="72"/>
      <c r="C27" s="72"/>
      <c r="D27" s="72"/>
      <c r="E27" s="72"/>
      <c r="F27" s="72"/>
      <c r="G27" s="28"/>
      <c r="H27" s="72" t="s">
        <v>380</v>
      </c>
      <c r="I27" s="72"/>
      <c r="J27" s="72"/>
      <c r="K27" s="72"/>
      <c r="L27" s="72"/>
      <c r="M27" s="28"/>
      <c r="N27" s="72" t="s">
        <v>381</v>
      </c>
      <c r="O27" s="72"/>
      <c r="P27" s="72"/>
      <c r="Q27" s="72"/>
      <c r="R27" s="73"/>
    </row>
    <row r="28" spans="1:18">
      <c r="A28" s="29"/>
      <c r="B28" s="25" t="s">
        <v>382</v>
      </c>
      <c r="C28" s="25" t="s">
        <v>383</v>
      </c>
      <c r="D28" s="25" t="s">
        <v>384</v>
      </c>
      <c r="E28" s="25" t="s">
        <v>385</v>
      </c>
      <c r="F28" s="65" t="s">
        <v>386</v>
      </c>
      <c r="G28" s="28"/>
      <c r="H28" s="25"/>
      <c r="I28" s="25" t="s">
        <v>382</v>
      </c>
      <c r="J28" s="25" t="s">
        <v>383</v>
      </c>
      <c r="K28" s="25" t="s">
        <v>384</v>
      </c>
      <c r="L28" s="25" t="s">
        <v>385</v>
      </c>
      <c r="M28" s="28"/>
      <c r="N28" s="25"/>
      <c r="O28" s="25" t="s">
        <v>382</v>
      </c>
      <c r="P28" s="25" t="s">
        <v>383</v>
      </c>
      <c r="Q28" s="25" t="s">
        <v>384</v>
      </c>
      <c r="R28" s="30" t="s">
        <v>385</v>
      </c>
    </row>
    <row r="29" spans="1:18">
      <c r="A29" s="29" t="s">
        <v>393</v>
      </c>
      <c r="B29" s="26"/>
      <c r="C29" s="26"/>
      <c r="D29" s="26">
        <v>200</v>
      </c>
      <c r="E29" s="26">
        <v>0</v>
      </c>
      <c r="F29" s="26">
        <f>SUM(B29:E29)</f>
        <v>200</v>
      </c>
      <c r="G29" s="28"/>
      <c r="H29" s="25" t="s">
        <v>387</v>
      </c>
      <c r="I29" s="26"/>
      <c r="J29" s="26"/>
      <c r="K29" s="26"/>
      <c r="L29" s="26"/>
      <c r="M29" s="28"/>
      <c r="N29" s="25" t="s">
        <v>387</v>
      </c>
      <c r="O29" s="26">
        <f>SUM(B29-I29)</f>
        <v>0</v>
      </c>
      <c r="P29" s="26">
        <f>SUM(C29-J29)</f>
        <v>0</v>
      </c>
      <c r="Q29" s="26">
        <f>SUM(D29-K29)</f>
        <v>200</v>
      </c>
      <c r="R29" s="31">
        <f>SUM(E29-L29)</f>
        <v>0</v>
      </c>
    </row>
    <row r="30" spans="1:18">
      <c r="A30" s="29" t="s">
        <v>394</v>
      </c>
      <c r="B30" s="26"/>
      <c r="C30" s="26"/>
      <c r="D30" s="26"/>
      <c r="E30" s="26">
        <v>0</v>
      </c>
      <c r="F30" s="26">
        <f t="shared" ref="F30:F32" si="6">SUM(B30:E30)</f>
        <v>0</v>
      </c>
      <c r="G30" s="28"/>
      <c r="H30" s="25" t="s">
        <v>388</v>
      </c>
      <c r="I30" s="26"/>
      <c r="J30" s="26"/>
      <c r="K30" s="26"/>
      <c r="L30" s="26"/>
      <c r="M30" s="28"/>
      <c r="N30" s="25" t="s">
        <v>388</v>
      </c>
      <c r="O30" s="26">
        <f t="shared" ref="O30:O32" si="7">SUM(B30-I30)</f>
        <v>0</v>
      </c>
      <c r="P30" s="26">
        <f>SUM(C30-J30)</f>
        <v>0</v>
      </c>
      <c r="Q30" s="26">
        <f>SUM(D30-K30)</f>
        <v>0</v>
      </c>
      <c r="R30" s="31">
        <f>SUM(E30-L30)</f>
        <v>0</v>
      </c>
    </row>
    <row r="31" spans="1:18">
      <c r="A31" s="29"/>
      <c r="B31" s="26"/>
      <c r="C31" s="26"/>
      <c r="D31" s="26"/>
      <c r="E31" s="26">
        <v>0</v>
      </c>
      <c r="F31" s="26">
        <f t="shared" si="6"/>
        <v>0</v>
      </c>
      <c r="G31" s="28"/>
      <c r="H31" s="25" t="s">
        <v>389</v>
      </c>
      <c r="I31" s="26"/>
      <c r="J31" s="26"/>
      <c r="K31" s="26"/>
      <c r="L31" s="26"/>
      <c r="M31" s="28"/>
      <c r="N31" s="25" t="s">
        <v>389</v>
      </c>
      <c r="O31" s="26">
        <f t="shared" si="7"/>
        <v>0</v>
      </c>
      <c r="P31" s="26">
        <f>SUM(C31-J31)</f>
        <v>0</v>
      </c>
      <c r="Q31" s="26">
        <f>SUM(D31-K31)</f>
        <v>0</v>
      </c>
      <c r="R31" s="31">
        <f>SUM(E31-L31)</f>
        <v>0</v>
      </c>
    </row>
    <row r="32" spans="1:18">
      <c r="A32" s="29"/>
      <c r="B32" s="26"/>
      <c r="C32" s="26"/>
      <c r="D32" s="26"/>
      <c r="E32" s="26">
        <v>0</v>
      </c>
      <c r="F32" s="26">
        <f t="shared" si="6"/>
        <v>0</v>
      </c>
      <c r="G32" s="28"/>
      <c r="H32" s="25" t="s">
        <v>390</v>
      </c>
      <c r="I32" s="26"/>
      <c r="J32" s="26"/>
      <c r="K32" s="26"/>
      <c r="L32" s="26"/>
      <c r="M32" s="28"/>
      <c r="N32" s="25" t="s">
        <v>390</v>
      </c>
      <c r="O32" s="26">
        <f t="shared" si="7"/>
        <v>0</v>
      </c>
      <c r="P32" s="26">
        <f>SUM(C32-J32)</f>
        <v>0</v>
      </c>
      <c r="Q32" s="26">
        <f>SUM(D32-K32)</f>
        <v>0</v>
      </c>
      <c r="R32" s="31">
        <f>SUM(E32-L32)</f>
        <v>0</v>
      </c>
    </row>
    <row r="33" spans="1:18">
      <c r="A33" s="32" t="s">
        <v>386</v>
      </c>
      <c r="B33" s="26">
        <f>SUM(B29:B32)</f>
        <v>0</v>
      </c>
      <c r="C33" s="26">
        <f t="shared" ref="C33:F33" si="8">SUM(C29:C32)</f>
        <v>0</v>
      </c>
      <c r="D33" s="26">
        <f t="shared" si="8"/>
        <v>200</v>
      </c>
      <c r="E33" s="26">
        <f t="shared" si="8"/>
        <v>0</v>
      </c>
      <c r="F33" s="26">
        <f t="shared" si="8"/>
        <v>200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33"/>
    </row>
    <row r="34" spans="1:18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6"/>
    </row>
  </sheetData>
  <mergeCells count="12">
    <mergeCell ref="A27:F27"/>
    <mergeCell ref="H27:L27"/>
    <mergeCell ref="N27:R27"/>
    <mergeCell ref="A2:R2"/>
    <mergeCell ref="A15:R15"/>
    <mergeCell ref="A26:R26"/>
    <mergeCell ref="H3:L3"/>
    <mergeCell ref="N3:R3"/>
    <mergeCell ref="A3:F3"/>
    <mergeCell ref="A16:F16"/>
    <mergeCell ref="H16:L16"/>
    <mergeCell ref="N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Barrett-Payton</dc:creator>
  <cp:keywords/>
  <dc:description/>
  <cp:lastModifiedBy/>
  <cp:revision/>
  <dcterms:created xsi:type="dcterms:W3CDTF">2020-10-21T20:51:28Z</dcterms:created>
  <dcterms:modified xsi:type="dcterms:W3CDTF">2026-09-07T07:59:51Z</dcterms:modified>
  <cp:category/>
  <cp:contentStatus/>
</cp:coreProperties>
</file>