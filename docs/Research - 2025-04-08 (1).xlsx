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14"/>
  <workbookPr/>
  <mc:AlternateContent xmlns:mc="http://schemas.openxmlformats.org/markup-compatibility/2006">
    <mc:Choice Requires="x15">
      <x15ac:absPath xmlns:x15ac="http://schemas.microsoft.com/office/spreadsheetml/2010/11/ac" url="https://d.docs.live.net/d539833a33b0da5f/RPGs/Star Wars/House Rules/Colony Rules/"/>
    </mc:Choice>
  </mc:AlternateContent>
  <xr:revisionPtr revIDLastSave="409" documentId="11_7D6893A6C83D4132A1CA4093AC1B1280A7097E91" xr6:coauthVersionLast="47" xr6:coauthVersionMax="47" xr10:uidLastSave="{C86ED35F-3032-4A14-816C-4FA3DBC430D8}"/>
  <bookViews>
    <workbookView xWindow="-120" yWindow="-120" windowWidth="29040" windowHeight="15990" firstSheet="17" activeTab="1" xr2:uid="{00000000-000D-0000-FFFF-FFFF00000000}"/>
  </bookViews>
  <sheets>
    <sheet name="Research" sheetId="2" r:id="rId1"/>
    <sheet name="Military" sheetId="3" r:id="rId2"/>
    <sheet name="Mining" sheetId="6" r:id="rId3"/>
    <sheet name="Agriculture" sheetId="7" r:id="rId4"/>
    <sheet name="Colonisation" sheetId="8" r:id="rId5"/>
    <sheet name="Infrastructure" sheetId="9" r:id="rId6"/>
    <sheet name="Commerce" sheetId="10" r:id="rId7"/>
    <sheet name="Space Station" sheetId="13" r:id="rId8"/>
    <sheet name="Vehicles" sheetId="15" r:id="rId9"/>
    <sheet name="Droids and Computers" sheetId="14" r:id="rId10"/>
    <sheet name="Weapons Edited" sheetId="16" r:id="rId11"/>
    <sheet name="Starship" sheetId="17" r:id="rId12"/>
    <sheet name="Production" sheetId="18" r:id="rId13"/>
    <sheet name="Planetary Defense" sheetId="12" r:id="rId14"/>
    <sheet name="Diplomacy" sheetId="11" r:id="rId15"/>
    <sheet name="Civics" sheetId="19" r:id="rId16"/>
    <sheet name="Government" sheetId="20" r:id="rId17"/>
    <sheet name="Construction" sheetId="4" r:id="rId18"/>
    <sheet name="Template" sheetId="5" r:id="rId19"/>
    <sheet name="Master Sheet" sheetId="1" state="hidden"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2" i="4" l="1"/>
  <c r="G82" i="4"/>
  <c r="H82" i="4"/>
  <c r="I82" i="4"/>
  <c r="J82" i="4"/>
  <c r="K82" i="4"/>
  <c r="L82" i="4"/>
  <c r="M82" i="4"/>
  <c r="E82" i="4"/>
</calcChain>
</file>

<file path=xl/sharedStrings.xml><?xml version="1.0" encoding="utf-8"?>
<sst xmlns="http://schemas.openxmlformats.org/spreadsheetml/2006/main" count="1514" uniqueCount="699">
  <si>
    <t>Tier 1</t>
  </si>
  <si>
    <t>Tier 2</t>
  </si>
  <si>
    <t>Tier 3</t>
  </si>
  <si>
    <t>Tier 4</t>
  </si>
  <si>
    <t>Tier 5</t>
  </si>
  <si>
    <t>Higher Education</t>
  </si>
  <si>
    <t>R&amp;D Program</t>
  </si>
  <si>
    <t>Small Research Lab</t>
  </si>
  <si>
    <t>Large Research Lab</t>
  </si>
  <si>
    <t>Orbital Research Facilities</t>
  </si>
  <si>
    <t>Infrastructure Research</t>
  </si>
  <si>
    <t>Reverse Engineering</t>
  </si>
  <si>
    <t>Modular Architecture</t>
  </si>
  <si>
    <t>Computer Assisted Research</t>
  </si>
  <si>
    <t>Colonisation Research</t>
  </si>
  <si>
    <t>Military Theory</t>
  </si>
  <si>
    <t>Space Ship Design Research</t>
  </si>
  <si>
    <t>Space Station Design</t>
  </si>
  <si>
    <t>Government</t>
  </si>
  <si>
    <t xml:space="preserve">Weapons Design </t>
  </si>
  <si>
    <t>Interstellar Economics</t>
  </si>
  <si>
    <t>Agricultural Research</t>
  </si>
  <si>
    <t>Recycling Programs</t>
  </si>
  <si>
    <t>Mining and Refining Research</t>
  </si>
  <si>
    <t>Planetary Defence</t>
  </si>
  <si>
    <t>Economics Research</t>
  </si>
  <si>
    <t>Repulsorlift Design Research</t>
  </si>
  <si>
    <t>Droid  and Computer Research</t>
  </si>
  <si>
    <t>Advance</t>
  </si>
  <si>
    <t>Prerequisites</t>
  </si>
  <si>
    <t>Effects</t>
  </si>
  <si>
    <t>Additional Notes</t>
  </si>
  <si>
    <t>Credits</t>
  </si>
  <si>
    <t>Raw Mats</t>
  </si>
  <si>
    <t>Energy</t>
  </si>
  <si>
    <t>Manpower</t>
  </si>
  <si>
    <t>ResearchTime</t>
  </si>
  <si>
    <t xml:space="preserve">Higher Education </t>
  </si>
  <si>
    <t>None</t>
  </si>
  <si>
    <t>Unlocks Tier 2 Advances and Civics Tech Tree</t>
  </si>
  <si>
    <t>Unlocks Tier 3 Advances</t>
  </si>
  <si>
    <t xml:space="preserve">Reverse Engineering </t>
  </si>
  <si>
    <t>Allows for equipment manufactured by others to be researched and copied so as to be produced at the colony.  Producing the item can only be done if you have the appropriate Production Capability</t>
  </si>
  <si>
    <t>Unlocks the Military Tech Tree</t>
  </si>
  <si>
    <t>Governmental Systems</t>
  </si>
  <si>
    <t>Unlocks the Government Tech Tree and Diplomacy</t>
  </si>
  <si>
    <t>Unlocks Tier 4 and The ability to Build Small Research Labs</t>
  </si>
  <si>
    <t>Modular Architechture</t>
  </si>
  <si>
    <t>Reduces Construction Costs for buildings by 10%</t>
  </si>
  <si>
    <t>Space Ship Design Reasearch</t>
  </si>
  <si>
    <t>Unlocks the Starship Tech Tree</t>
  </si>
  <si>
    <t>Weapons Design</t>
  </si>
  <si>
    <t>Unlocks the Weapon Tech Tree</t>
  </si>
  <si>
    <t>Unlocks the Agricultural Tech Tree</t>
  </si>
  <si>
    <t>Unlocks the Mining and Refining Tech Tree</t>
  </si>
  <si>
    <t>Unlocks the Commerce Tech Tree</t>
  </si>
  <si>
    <t>Unlocks the Repulsorlift Tech Tree</t>
  </si>
  <si>
    <t>Unlocks the Droid and Computer Tech Tree</t>
  </si>
  <si>
    <t>R&amp;D Program and Reverse Engineering</t>
  </si>
  <si>
    <t>Allows for the recycling of equipment for a return of resources.  You must be in posession of at least one facility that produces the type of item being recycled.  Use the following Rates:</t>
  </si>
  <si>
    <t>Character Scale = Raw Mat 1
Droid = Raw Mat 3
Speeder = Raw Mat 5
Walker = Raw Mat 10
Starfighter = Raw Mat 50, Energy 50
Capital = Ruled case by case</t>
  </si>
  <si>
    <t>Unlocks Large Research Lab Construction Option and Tier 5</t>
  </si>
  <si>
    <t>Large Research Lab and Droid and Computer Design Research</t>
  </si>
  <si>
    <t>Allows for an additional reasearch to be carried out each Colony Turn.</t>
  </si>
  <si>
    <t>Large Research Lab and Starship Design Research</t>
  </si>
  <si>
    <t>Unlocks Space Station Tech Tree</t>
  </si>
  <si>
    <t>Large Research Lab and Economics Research</t>
  </si>
  <si>
    <t>Unlocks Diplomacy Tech Tree</t>
  </si>
  <si>
    <t>Large Research Lab and Space Station Research</t>
  </si>
  <si>
    <t>Unlocks Orbital Research Facilities as a construction option</t>
  </si>
  <si>
    <t>Unlocks Colonisation Tech Tree and Planetary Defense</t>
  </si>
  <si>
    <t>Unlocks Infrastructure Tech Tree</t>
  </si>
  <si>
    <t>Basic Training</t>
  </si>
  <si>
    <t>Military Academy</t>
  </si>
  <si>
    <t>Army Academy</t>
  </si>
  <si>
    <t>Advanced Officer Training</t>
  </si>
  <si>
    <t>Advanced Tactical Training</t>
  </si>
  <si>
    <t>Militia</t>
  </si>
  <si>
    <t>Naval Academy</t>
  </si>
  <si>
    <t>Starfighter Command</t>
  </si>
  <si>
    <t>Allows for members of the Population to be trained for service in the military forces of a colony.  Unlocks Boot Camp on the Construction Tree.</t>
  </si>
  <si>
    <t>Military Personal are rated using the Average Rebel skill Range</t>
  </si>
  <si>
    <t>In emergencies 20% of the planets population may be immediately drafted into service</t>
  </si>
  <si>
    <t>Militia are treated as Recruit Rebels skill range</t>
  </si>
  <si>
    <t>Improved levels of training for Officers and Non-Comms</t>
  </si>
  <si>
    <t>Military Personal are rated using the Veteran Rebel skill Range</t>
  </si>
  <si>
    <t>Dedicated Army Officer Training</t>
  </si>
  <si>
    <t>Army Officers receive +1D Command</t>
  </si>
  <si>
    <t>Dedicated Navy Officer Training</t>
  </si>
  <si>
    <t>Navy Officers receive +1D Command</t>
  </si>
  <si>
    <t>Dedicated Starfighter Officer Training</t>
  </si>
  <si>
    <t>Starfighter Officers receive +1D Command</t>
  </si>
  <si>
    <t>Army or Naval Academy or Starfighter Command</t>
  </si>
  <si>
    <t>Officers receive an addition +1D Command and a Tactics Skill of 4D</t>
  </si>
  <si>
    <t>Officers Tactical Skill is increased to 5D</t>
  </si>
  <si>
    <t>Advanced Mining Techniques</t>
  </si>
  <si>
    <t>Mineral Extractors Research</t>
  </si>
  <si>
    <t>Automated Mining</t>
  </si>
  <si>
    <t>Asteroid Mining</t>
  </si>
  <si>
    <t>Gas Cloud Mining Station</t>
  </si>
  <si>
    <t>Fuel Mining</t>
  </si>
  <si>
    <t>Fuel Extractors Research</t>
  </si>
  <si>
    <t>Refinery</t>
  </si>
  <si>
    <t xml:space="preserve">Unlocks Tier 2 </t>
  </si>
  <si>
    <t>Unlocks Tier 3  Allows for the Construction of Mineral Extractors</t>
  </si>
  <si>
    <t>Unlocks Tier 3</t>
  </si>
  <si>
    <t>Mineral Extractors Research and Droid Production Facilities</t>
  </si>
  <si>
    <t>Unlocks Tier 4 and Automated Mining Facilities</t>
  </si>
  <si>
    <t>Construction of Fuel Extractors</t>
  </si>
  <si>
    <t>Unlocks Asteroid Mining Stations and Ships</t>
  </si>
  <si>
    <t>Refinery Research</t>
  </si>
  <si>
    <t>Mineral Extractors Research and Fuel Extractors Research</t>
  </si>
  <si>
    <t>Unlocks Tier 5 and allows for Construction of Refinery</t>
  </si>
  <si>
    <t>Gas Cloud Mining Station Research</t>
  </si>
  <si>
    <t>Refinery Research and Small Space Station Research</t>
  </si>
  <si>
    <t>Can build Gas Cloud Mining Facilities</t>
  </si>
  <si>
    <t>Automated Farming Research</t>
  </si>
  <si>
    <t>Hydroponics Lab Research</t>
  </si>
  <si>
    <t>Hydroponics Bay Research</t>
  </si>
  <si>
    <t>Orbital Farms Research</t>
  </si>
  <si>
    <t>High Yield Crops Research</t>
  </si>
  <si>
    <t>Agricultural Farming</t>
  </si>
  <si>
    <t>Advanced Breeding Programs Research</t>
  </si>
  <si>
    <t xml:space="preserve">Agricultural Research  </t>
  </si>
  <si>
    <t>Capable of building Farms Unlocks Tier 2</t>
  </si>
  <si>
    <t>Agricultural Research and Droid Production</t>
  </si>
  <si>
    <t>Capable of Building Automated Farms</t>
  </si>
  <si>
    <t>Hydroponics Lab</t>
  </si>
  <si>
    <t>Unlock Tier 4.  Improves Space Vehicle and Station Consumables by 20%</t>
  </si>
  <si>
    <t>Hyproponics Bay Research and Space Station Research</t>
  </si>
  <si>
    <t>Unlocks Tier 5  Capable of Building Orbital Farms</t>
  </si>
  <si>
    <t>Hydpronics Lab Research</t>
  </si>
  <si>
    <t>Improves Farm resource production by 20%</t>
  </si>
  <si>
    <t>Improves Farm Production Rates by 10%</t>
  </si>
  <si>
    <t>High Density Zoning</t>
  </si>
  <si>
    <t>Improved Arid Colonies</t>
  </si>
  <si>
    <t>Artic Exploitation</t>
  </si>
  <si>
    <t>Volcanic Exploitation</t>
  </si>
  <si>
    <t>Advanced Artic Colonies</t>
  </si>
  <si>
    <t>Small Mining Outpost</t>
  </si>
  <si>
    <t>Barren World Colonisation</t>
  </si>
  <si>
    <t>Terraforming</t>
  </si>
  <si>
    <t>Advanced Terraforming</t>
  </si>
  <si>
    <t>Space Colonisation</t>
  </si>
  <si>
    <t>Aquatic Colonies</t>
  </si>
  <si>
    <t>Medium Mining Outpost</t>
  </si>
  <si>
    <t>Large Mining Outpost</t>
  </si>
  <si>
    <t>Sealed Habitats</t>
  </si>
  <si>
    <t>Unclocks Tier 2</t>
  </si>
  <si>
    <t>Allows for settlement of Arid Worlds and Unlocks Tier 3</t>
  </si>
  <si>
    <t>High Density Zoning and Mineral Extractors</t>
  </si>
  <si>
    <t>Can construct Small Mining Outposts on Planet that you have not colonised</t>
  </si>
  <si>
    <t>Allows for settlement of Arctic Worlds and Unlocks Tier 4</t>
  </si>
  <si>
    <t>Improved Arid Colonies and Life Support</t>
  </si>
  <si>
    <t>Allows for the Settlement of Barren Worlds</t>
  </si>
  <si>
    <t>Space Station and Life Support</t>
  </si>
  <si>
    <t>Allows for the Settlement of Space Station Based Colonies</t>
  </si>
  <si>
    <t>Life Support</t>
  </si>
  <si>
    <t>Small Mining Outpost and Automated Mineral Extractors</t>
  </si>
  <si>
    <t>Can construct Medium Mining Outposts on Planet that you have not colonised</t>
  </si>
  <si>
    <t>Allows for settlement of Volcanic Worlds and Unlocks Tier 5</t>
  </si>
  <si>
    <t>Allows for a Planet whose conditions are only slightly different to Type I to undergo terraforming over the course of a year to make it habitable.</t>
  </si>
  <si>
    <t>Medium Mining Outpost and Refinery</t>
  </si>
  <si>
    <t>Can construct Large Mining Outposts on Planet that you have not colonised</t>
  </si>
  <si>
    <t>Allows for Construction to take place anywhere on the Ice Planet</t>
  </si>
  <si>
    <t>Allows for a Planet whose conditions are extremely different to Type I to undergo terraforming over the course of a year to make it habitable.</t>
  </si>
  <si>
    <t>May construct Mining Ouposts on planets with Hostile or Non Breathable Atmospheres</t>
  </si>
  <si>
    <t>Basic Construction</t>
  </si>
  <si>
    <t>Life Support Systems</t>
  </si>
  <si>
    <t>Advanced Construction</t>
  </si>
  <si>
    <t>Advanced Civic Design</t>
  </si>
  <si>
    <t>Systems Sensor Net</t>
  </si>
  <si>
    <t>Power Generator: Solid Fuel</t>
  </si>
  <si>
    <t>Power Generator: Solar</t>
  </si>
  <si>
    <t>Power Generator: Wind</t>
  </si>
  <si>
    <t>Power Generator: Hydroelectric</t>
  </si>
  <si>
    <t>Power Generator: Geothermal</t>
  </si>
  <si>
    <t>Small Fabrication Facility</t>
  </si>
  <si>
    <t>Medium Fabrication Facility</t>
  </si>
  <si>
    <t>Large Fabrication Facility</t>
  </si>
  <si>
    <t xml:space="preserve">Power Generator: Orbital Solar </t>
  </si>
  <si>
    <t xml:space="preserve">Unlocks the Construction Tree and Tier 2 </t>
  </si>
  <si>
    <t>Enables the Building of Solid Fuel Power Generator</t>
  </si>
  <si>
    <t>Allows for various life support systems and Unlocks Tier 3</t>
  </si>
  <si>
    <t>Enables Construction of Solar Power Generators</t>
  </si>
  <si>
    <t>Allow for more impressive building programs to be executed and Unlocks Tier 4</t>
  </si>
  <si>
    <t>Enables Construction of Wind Power Generators</t>
  </si>
  <si>
    <t>Unlocks Tier 5</t>
  </si>
  <si>
    <t>Enables Construction of Hydroelectric Power Generators</t>
  </si>
  <si>
    <t>Allows Construction of System Wide Sensor Net</t>
  </si>
  <si>
    <t>Space Station Design and Power Generator Solar</t>
  </si>
  <si>
    <t>Allows for Construction of Power Generators: Orbital Solar</t>
  </si>
  <si>
    <t>Enables Construction of Geothermal Power Generators</t>
  </si>
  <si>
    <t>Enables building of Small Fabrication Facility</t>
  </si>
  <si>
    <t>Enables building of Medium Fabrication Facility</t>
  </si>
  <si>
    <t>Enables building of Large Fabrication Facility</t>
  </si>
  <si>
    <t>Inter-City Trade</t>
  </si>
  <si>
    <t>Inter-Continental Trade</t>
  </si>
  <si>
    <t>Orbital Commerce</t>
  </si>
  <si>
    <t>Inter-Planetary Trade</t>
  </si>
  <si>
    <t>Inter-System Trade</t>
  </si>
  <si>
    <t>Deep Space Trade</t>
  </si>
  <si>
    <t>Huge Cargo Holds</t>
  </si>
  <si>
    <t>Trade Fleets</t>
  </si>
  <si>
    <t>Docking Booms</t>
  </si>
  <si>
    <t>Unlocks Tier 2 and increase taxation income from 1/10 to 2/10</t>
  </si>
  <si>
    <t>Unlocks Tier 3 and increase taxation income from 2/10 to 3/10</t>
  </si>
  <si>
    <t>Unlocks Tier 4</t>
  </si>
  <si>
    <t>Allows for Construction of Trade Ports</t>
  </si>
  <si>
    <t>Unlocks Tier 4 and increase taxation income from 3/10 to 4/10</t>
  </si>
  <si>
    <t>Unlocks Trade Fleets</t>
  </si>
  <si>
    <t>Increase All Space Station Credit income by 1000 Credits</t>
  </si>
  <si>
    <t>Increase taxation income from 4/10 to 5/10</t>
  </si>
  <si>
    <t>Allows construction of Trade Fleets</t>
  </si>
  <si>
    <t>Satelite</t>
  </si>
  <si>
    <t>Orbital Hangers</t>
  </si>
  <si>
    <t>Orbitals Warehouses</t>
  </si>
  <si>
    <t>Asteroid Mining Stations</t>
  </si>
  <si>
    <t>Military Space Station Design</t>
  </si>
  <si>
    <t>Small Space Station Construction</t>
  </si>
  <si>
    <t>Small Military Space Station</t>
  </si>
  <si>
    <t>Allows construction of Satelites and Unlocks Tier 2</t>
  </si>
  <si>
    <t>Allows Construction of Small Space Station</t>
  </si>
  <si>
    <t>Satelite and Hanger Defense</t>
  </si>
  <si>
    <t>Allows construction of Orbital Hangers and Unlocks Tier 3</t>
  </si>
  <si>
    <t>Increases the Credits production of Space Stations and Trade Ports by 1000 Credits/Colony Turn and Unlocks Tier 4</t>
  </si>
  <si>
    <t>Asteroid Mining and Small Space Station Construction</t>
  </si>
  <si>
    <t>Allows Construction of Asteroid Mining Stations and Unlocks Tier 5</t>
  </si>
  <si>
    <t>allows research of Miliatary Space Stations</t>
  </si>
  <si>
    <t>Allows Construction of Small Military Space Stations</t>
  </si>
  <si>
    <t>Small Repulsorlift Factory</t>
  </si>
  <si>
    <t>Medium Repulsorlift Factory</t>
  </si>
  <si>
    <t>Large Repulsorlift Factory</t>
  </si>
  <si>
    <t>Air Speeder Research</t>
  </si>
  <si>
    <t>Powerful Repulsorlifts</t>
  </si>
  <si>
    <t>Small Walker Factory</t>
  </si>
  <si>
    <t>Aquatic Vehicle Research</t>
  </si>
  <si>
    <t>Advanced Maneuvering</t>
  </si>
  <si>
    <t>Medium Walker Factory</t>
  </si>
  <si>
    <t>Large Walker Factory</t>
  </si>
  <si>
    <t>Small Repulsorlift Factory Blueprints</t>
  </si>
  <si>
    <t>Allows for Construction of Small Repulsorlift Factories and Unlocks Tier 2</t>
  </si>
  <si>
    <t>Medium Repulsorlift Factory Blueprints</t>
  </si>
  <si>
    <t>Allows for Construction of Medium Repulsorlift Factories and Unlocks Tier 3</t>
  </si>
  <si>
    <t>Large Repulsorlift Factory Blueprints</t>
  </si>
  <si>
    <t>Allows for Construction of Large Repulsorlift Factories and Unlocks Tier 4</t>
  </si>
  <si>
    <t>Small Walker Factory Blueprints</t>
  </si>
  <si>
    <t>Allows for Construction of Small Walker Factories and Unlocks Tier 4</t>
  </si>
  <si>
    <t>Allows for production of High Altitude Speeder scale vehicles such as Air Speeders and Atmospheric Starfigther Scale Vehicles</t>
  </si>
  <si>
    <t>Allows for Production of Underwater and Amphibious Vehicles.</t>
  </si>
  <si>
    <t>Allows for Construction of Medium Walker Factories and Unlocks Tier 5</t>
  </si>
  <si>
    <t>More powerful Repulsor Engines.  Double Speeder Altitude and increase Speed by 1D</t>
  </si>
  <si>
    <t>Add +2 to Maneouvrability to Colony produced vehicles.</t>
  </si>
  <si>
    <t>Allows for Construction of Large Walker Factories</t>
  </si>
  <si>
    <t>Small Droid Factory Research</t>
  </si>
  <si>
    <t>Medium Droid Factory Research</t>
  </si>
  <si>
    <t>Large Droid Factory Research</t>
  </si>
  <si>
    <t>SkillWare Research</t>
  </si>
  <si>
    <t>Traitware Research</t>
  </si>
  <si>
    <t>Small Computer Factory Research</t>
  </si>
  <si>
    <t>Medium Computer Factory Research</t>
  </si>
  <si>
    <t>Large Computer Factory Research</t>
  </si>
  <si>
    <t>Super Computer Research</t>
  </si>
  <si>
    <t>Ship Board AI</t>
  </si>
  <si>
    <t>Planetwide Holonet</t>
  </si>
  <si>
    <t>Intra - Systems Holonet</t>
  </si>
  <si>
    <t>Inter - Systems Holonet</t>
  </si>
  <si>
    <t>Holographic Projector Systems</t>
  </si>
  <si>
    <t>Can construct small Droid Factory</t>
  </si>
  <si>
    <t>Can construct Small Computer Factory and Unlocks Tier 2</t>
  </si>
  <si>
    <t>Allows construction of Planet Wide Holonet services and Unlocks Tier 3</t>
  </si>
  <si>
    <t>Can construct Medium Droid Factory</t>
  </si>
  <si>
    <t>Can construct Medium Computer Factory and Unlocks Tier 3</t>
  </si>
  <si>
    <t>Satelite and Small Computer Factory Research</t>
  </si>
  <si>
    <t>Allows for construction of Intra-Systems Holonet Network and Unlocks Tier 4</t>
  </si>
  <si>
    <t>Can construct Large Droid Factory</t>
  </si>
  <si>
    <t>Can construct Large Computer Factory and Unlocks Tier 4</t>
  </si>
  <si>
    <t>Allows for construction of the Inter System Holonets Unlocks Tier 5</t>
  </si>
  <si>
    <t>Allows for Production of Skillware to a Maximum of 6D for Upgrading Droids</t>
  </si>
  <si>
    <t>Allows for the constuction of a Super Computer to Support Civic Governance.</t>
  </si>
  <si>
    <t>Allows for Production of Traitware to a Maximum of 3D for Creating Droid Chasis</t>
  </si>
  <si>
    <t>Allows for the construction of a Ship Board AI</t>
  </si>
  <si>
    <t>An upgrade to an AI, it requires extensive installation throughout the ship it is being installed in.</t>
  </si>
  <si>
    <t>Small Weapons Manufacturing</t>
  </si>
  <si>
    <t>Medium Weapons Mangufacturing</t>
  </si>
  <si>
    <t>Large Weapons Mangufacturing</t>
  </si>
  <si>
    <t>Advanced Fire Control Systems</t>
  </si>
  <si>
    <t>Jump Disruption/Gravity Well Projectors</t>
  </si>
  <si>
    <t>Improved Galvern Patterns</t>
  </si>
  <si>
    <t>Improved Ergonomics</t>
  </si>
  <si>
    <t>Advanced Focussing Crystals</t>
  </si>
  <si>
    <t>Improved Accuracy</t>
  </si>
  <si>
    <t>Allows Construction of Small Weapons Manufacturing Plant and Unlock Tier 2</t>
  </si>
  <si>
    <t>Medium Weapons Manufacturing</t>
  </si>
  <si>
    <t>Allows Construction of Medium Weapons Manufacturing Plant and Unlock Tier 3</t>
  </si>
  <si>
    <t>Large Weapons Manufacturing</t>
  </si>
  <si>
    <t>Allows Construction of Large Weapons Manufacturing Plant and Unlock Tier 4</t>
  </si>
  <si>
    <t>All Fire Control ratings of Colony produced systems is increased by 1D.</t>
  </si>
  <si>
    <t>Add +2 to Blaster Damage</t>
  </si>
  <si>
    <t>Increase Blaster Ranges by 20% in each Range Bracket</t>
  </si>
  <si>
    <t>Can produce Gravity Well Projectors in your Weapons Plants</t>
  </si>
  <si>
    <t>Add +1D to quickdraw attempts with Pistol Weapons</t>
  </si>
  <si>
    <t>Add +1D to Blaster Skill</t>
  </si>
  <si>
    <t>Small Starfighter Production</t>
  </si>
  <si>
    <t>Hull Reinforcement</t>
  </si>
  <si>
    <t>Small Capital Ship Production</t>
  </si>
  <si>
    <t>Efficient Generators</t>
  </si>
  <si>
    <t>Failsafe Jump Ploting</t>
  </si>
  <si>
    <t>Asteroid Mining Ship</t>
  </si>
  <si>
    <t>Improved Shield Arrays</t>
  </si>
  <si>
    <t>Fortified Superstructure</t>
  </si>
  <si>
    <t>Superior Shield Emitters</t>
  </si>
  <si>
    <t>Potent Reaction Chaining</t>
  </si>
  <si>
    <t>Repair Platform</t>
  </si>
  <si>
    <t>Expert Damage Control</t>
  </si>
  <si>
    <t>Titano-Ferric Plating</t>
  </si>
  <si>
    <t>Repelon Premium Armour</t>
  </si>
  <si>
    <t>High Intenstity Lasers</t>
  </si>
  <si>
    <t>Impact Analysis</t>
  </si>
  <si>
    <t>Advance Maneuvering</t>
  </si>
  <si>
    <t>Laser Amplification</t>
  </si>
  <si>
    <t>Refined Missile Avionics</t>
  </si>
  <si>
    <t>Superior Repair Bots</t>
  </si>
  <si>
    <t xml:space="preserve">Large Starfighter Production </t>
  </si>
  <si>
    <t>Ferro-Urinite Warheads</t>
  </si>
  <si>
    <t>Advanced Ballistics</t>
  </si>
  <si>
    <t xml:space="preserve">Medium Starfighter Production </t>
  </si>
  <si>
    <t>Enhanced ECM</t>
  </si>
  <si>
    <t>Dynamic Frequencies</t>
  </si>
  <si>
    <t>Medium Capital Ship Production</t>
  </si>
  <si>
    <t>Amplified Beam Output</t>
  </si>
  <si>
    <t>Extended Range Missiles</t>
  </si>
  <si>
    <t>High Yields Warheads</t>
  </si>
  <si>
    <t>Large Capital Ship Production</t>
  </si>
  <si>
    <t>Orbital Ship Yards</t>
  </si>
  <si>
    <t>Allows for Construction of Small Starfighter Factory and Unlocks Tier 2</t>
  </si>
  <si>
    <t>Allows for production of Asteroid Mining Ships</t>
  </si>
  <si>
    <t>Allows for production of Repair Platforms</t>
  </si>
  <si>
    <t>Increase Hull Ratings of ships produced or modified by +1</t>
  </si>
  <si>
    <t>Modification can be applied to exisiting ships if you have the production blueprints for them.</t>
  </si>
  <si>
    <t>Increase Shield Ratings of Ships Produced or Modified by +1</t>
  </si>
  <si>
    <t>Add +5 to any Repair Rolls made during combat</t>
  </si>
  <si>
    <t>Add +1D to Hull ratings vs Missiles and Ballistic damage</t>
  </si>
  <si>
    <t>Add +5 to any Repair Rolls on ships equipped with this upgrade.</t>
  </si>
  <si>
    <t>Allows for Construction of Medium Starfighter Factory and Unlocks Tier 3</t>
  </si>
  <si>
    <t>Allows for Construction of Small Capital Ship Dock and Unlocks Tier 4</t>
  </si>
  <si>
    <t>Increase Hull Ratings of Ships produced in the Colony by +1D</t>
  </si>
  <si>
    <t>Increase Ships Maneuverability by +1 for Ships Produced or Modified</t>
  </si>
  <si>
    <t>Allows for Construction of Large Starfighter Factory</t>
  </si>
  <si>
    <t>Allows Capital Ships to regenerate an additional 1D of Shield every third round</t>
  </si>
  <si>
    <t>Increase Shield Ratings of Ships Produced or Modified by +1D</t>
  </si>
  <si>
    <t>Increase Laser Weapon Damage ratings by +1D</t>
  </si>
  <si>
    <t>Increase Concussion Missile Damage by +1D</t>
  </si>
  <si>
    <t>Increase difficulties to hit target with Missiles and Torpedoes</t>
  </si>
  <si>
    <t>Allows for Construction of Medium Capital Ship Dock and Unlocks Tier 5</t>
  </si>
  <si>
    <t>Ships fitted with these systems are able to calculate and execute a small jump out of system within 1 round.  It takes 10 rounds to calculate a new jump once this system has been used</t>
  </si>
  <si>
    <t>Allows Capital Ships to regenerate an additional 1D of Shield every Second Round (replaces the effects of Efficient Shield Generators)</t>
  </si>
  <si>
    <t>Increase Laser Weapon Damage ratings by +2D (replaces the effects of Laser Amplification</t>
  </si>
  <si>
    <t>Increase Fire Control of Missiles and Torpedoes by 1D</t>
  </si>
  <si>
    <t>Increase Fire Control of Ship Weapons by +1D</t>
  </si>
  <si>
    <t>Increase Laser Weapon Damage ratings by +3D (replaces the effects of High Intensity Lasers)</t>
  </si>
  <si>
    <t>Can Engage the Enemy with Missile Fire 1 Round before entering weapons Range</t>
  </si>
  <si>
    <t>Increase Concussion Missile Damage by +2D (Replaces the effects of Ferro-Urinite Warheads)</t>
  </si>
  <si>
    <t>Can produce Large Capital Ship Dock</t>
  </si>
  <si>
    <t>Can Produce Orbital Ship Yards</t>
  </si>
  <si>
    <t>Hanger Defense</t>
  </si>
  <si>
    <t>Hanger Defense Turrets</t>
  </si>
  <si>
    <t>Proximity Mines</t>
  </si>
  <si>
    <t>Planetary Shields</t>
  </si>
  <si>
    <t>Superior Planetary Shields</t>
  </si>
  <si>
    <t>Small Military Outpost Research</t>
  </si>
  <si>
    <t>Medium Military Outpost Research</t>
  </si>
  <si>
    <t>Large Military Outpost</t>
  </si>
  <si>
    <t>Sealed Habitats.</t>
  </si>
  <si>
    <t>Allows construction of Ground based fighter hangers and Unlocks Tier 2</t>
  </si>
  <si>
    <t>Hangers are constructed with 4 turret mounts and Unlocks Tier 3</t>
  </si>
  <si>
    <t>Allows for the Construction of Small Military Outposts</t>
  </si>
  <si>
    <t>Allows construction of high orbit or space born mine fields and Unlocks Tier 4</t>
  </si>
  <si>
    <t>Allows for Construction of Medium Military Outposts</t>
  </si>
  <si>
    <t>Able to construct planetary shield Arrays</t>
  </si>
  <si>
    <t>Allows for Construction of Large Military Outposts</t>
  </si>
  <si>
    <t>Can produced overlapping shields</t>
  </si>
  <si>
    <t>Military Outposts can be constructed on planets with Hostile or non breathable atmospheres.</t>
  </si>
  <si>
    <t>Diplomatic Relations</t>
  </si>
  <si>
    <t>Trade Agreements</t>
  </si>
  <si>
    <t>Embassies</t>
  </si>
  <si>
    <t>Non-Agression Pacts</t>
  </si>
  <si>
    <t>Mutual Defence Treaties</t>
  </si>
  <si>
    <t>Trade Routes</t>
  </si>
  <si>
    <t>Military Alliance</t>
  </si>
  <si>
    <t>Occupational Forces</t>
  </si>
  <si>
    <t>You have a cadre of trained diplomats that can open up diplomatic relations on your behalf with other races.</t>
  </si>
  <si>
    <t>May carry out one of trades or exchanges with any race that you have established diplomatic relationships with.</t>
  </si>
  <si>
    <t>You may now build Embassies on the planets that you have established Diplomatic relationships.
Gives access to the Embassy construction.</t>
  </si>
  <si>
    <t>Embassies give you real time negotion and up to date information on the system they are built in.</t>
  </si>
  <si>
    <t>Trade Agreements and Trade Fleets</t>
  </si>
  <si>
    <t>Doubles the Positive Monthly Income factors for Trade Fleets established between trading partners</t>
  </si>
  <si>
    <t>Allows transit through allied systems</t>
  </si>
  <si>
    <t>Terms of Treaty to be determined with GM</t>
  </si>
  <si>
    <t>Allied systems will come to your aid with expectation of the same</t>
  </si>
  <si>
    <t>Non-Agression Pacts, any Miitary Outpost Research</t>
  </si>
  <si>
    <t>Allows you to construct Military Outposts on Allied Planets</t>
  </si>
  <si>
    <t>Allows you to construct Military Outposts on Enemy Planets</t>
  </si>
  <si>
    <t>Medical Centres</t>
  </si>
  <si>
    <t>Hospitals</t>
  </si>
  <si>
    <t xml:space="preserve">Family Planning </t>
  </si>
  <si>
    <t>Recreational Centres</t>
  </si>
  <si>
    <t>Basic Education</t>
  </si>
  <si>
    <t>Vocational Education</t>
  </si>
  <si>
    <t>University Programs</t>
  </si>
  <si>
    <t>Masters Programs</t>
  </si>
  <si>
    <t>Doctorates</t>
  </si>
  <si>
    <t>Festivals</t>
  </si>
  <si>
    <t>Plaza</t>
  </si>
  <si>
    <t>Grand Festivals</t>
  </si>
  <si>
    <t>Grand Plaza</t>
  </si>
  <si>
    <t>Spiritual Programs</t>
  </si>
  <si>
    <t>Places of Worship</t>
  </si>
  <si>
    <t>Cathedral</t>
  </si>
  <si>
    <t>Increase Population Growth by 1%</t>
  </si>
  <si>
    <t>Stacks with other Population Growth increases</t>
  </si>
  <si>
    <t>Increase Income of Farms by 10%</t>
  </si>
  <si>
    <t>Effects Positive income values only.</t>
  </si>
  <si>
    <t>Unlocks Plaza</t>
  </si>
  <si>
    <t>Agree with GM based on focus of Religion</t>
  </si>
  <si>
    <t>Increase Income of Mines by 10%</t>
  </si>
  <si>
    <t>Can Hold Festivals and Unlocks Grand Festivals</t>
  </si>
  <si>
    <t>Reduce  monthly Costs of Factories by 10%</t>
  </si>
  <si>
    <t>Effects Negative income values only.</t>
  </si>
  <si>
    <t>Unlocks Grand Plaza</t>
  </si>
  <si>
    <t>Reduce  monthly Costs of Military Facilities by 10%</t>
  </si>
  <si>
    <t>Can Hold Grand Festivals</t>
  </si>
  <si>
    <t>Reduce  monthly Costs of Research Facilities by 10%</t>
  </si>
  <si>
    <t>Monarchy</t>
  </si>
  <si>
    <t>Civil Service</t>
  </si>
  <si>
    <t>Emergency Services</t>
  </si>
  <si>
    <t>Reform</t>
  </si>
  <si>
    <t>Planetary Governors</t>
  </si>
  <si>
    <t>Democracy</t>
  </si>
  <si>
    <t>Revolution</t>
  </si>
  <si>
    <t>Security Forces</t>
  </si>
  <si>
    <t>Police Academies</t>
  </si>
  <si>
    <t>Communist</t>
  </si>
  <si>
    <t>Mining Guild</t>
  </si>
  <si>
    <t>System Defence Forces</t>
  </si>
  <si>
    <t>Territorial Army Units</t>
  </si>
  <si>
    <t>Theocracy</t>
  </si>
  <si>
    <t>Agricultural Societies</t>
  </si>
  <si>
    <t>Government Funding</t>
  </si>
  <si>
    <t>Advanced Civil Servants</t>
  </si>
  <si>
    <t>Dictatorship</t>
  </si>
  <si>
    <t>EMT and Fire Training</t>
  </si>
  <si>
    <t>Oligarchy</t>
  </si>
  <si>
    <t>Increase Manpower Generation by 10%, Population Growth by 1%, Reduce Cost of Military Research by 10%</t>
  </si>
  <si>
    <t>Can only have one System in operation at a time.
Unlocks Tier 2</t>
  </si>
  <si>
    <t>Increase Raw Mats, Manpower and Energy Production by 10%</t>
  </si>
  <si>
    <t>Increase Raw Mat by 10%, Reduce Agricultural Research by 10%, Increase Population Growth by 1%</t>
  </si>
  <si>
    <t>Increase Population Growth by 2%, Reduce Cost of Spiritual Programs, Festivals, Places of Worship and Cathedrals by 50%</t>
  </si>
  <si>
    <t>Increase Weapons Production by 20%, Reduce Military Costs by 20%</t>
  </si>
  <si>
    <t>Increase Raw Mats and Energy Outputs by 20%</t>
  </si>
  <si>
    <t>Any Tier 1 Government Research</t>
  </si>
  <si>
    <t>You have established Civil Services to carry out Government sponsored activities.</t>
  </si>
  <si>
    <t>They have relevant skills at a 5D rating.
Unlocks Tier 3</t>
  </si>
  <si>
    <t>Any Two Tier 1 Government Research</t>
  </si>
  <si>
    <t>Allows you to change your Government system.  This is usually bloody and severe means of achieving this.</t>
  </si>
  <si>
    <t>Requires you to have researched the system you are changing to.</t>
  </si>
  <si>
    <t>Increase Raw Material output by 10%</t>
  </si>
  <si>
    <t xml:space="preserve">Increase Manpower generation by 10% </t>
  </si>
  <si>
    <t>Fire and Medical Emergency Services</t>
  </si>
  <si>
    <t>They have relevant skills at a 5D rating.
Unlocks Tier 4</t>
  </si>
  <si>
    <t>Dedicated Police Forces</t>
  </si>
  <si>
    <t>Trained to Average Rebel Skill Level</t>
  </si>
  <si>
    <t>Dedicated System Defence Forces. Military Forces under the direct command of the Government</t>
  </si>
  <si>
    <t>Once per Colony Turn you can reduce the Credit Cost of a Research or Construction by 10%</t>
  </si>
  <si>
    <t>Government Funding and Any Two Sytems of Government</t>
  </si>
  <si>
    <t>Allows for the change of Government styles via the act of Reform. 
Unlocks Tier 5</t>
  </si>
  <si>
    <t>Once researched you can change your government every 12 Colony Turns at 1/10 the cost of the research.  You need to work with the GM to explain this.</t>
  </si>
  <si>
    <t>Increased Training for Security Forces.  Can create dedicated divisions</t>
  </si>
  <si>
    <t>Increase Relevant Skills by +1D</t>
  </si>
  <si>
    <t>System Defense Forces</t>
  </si>
  <si>
    <t>Increased Training for System Defense.  Can create dedicated divisions</t>
  </si>
  <si>
    <t>Increased Training for Civil Services.  Can create dedicated divisions</t>
  </si>
  <si>
    <t>Increased Training for Emergency Services.  Can create dedicated divisions</t>
  </si>
  <si>
    <t>Allows for the selection and training of Planetary Governors to run things in your absence.</t>
  </si>
  <si>
    <t>Cost to Build</t>
  </si>
  <si>
    <t>Monthly Income Modifications</t>
  </si>
  <si>
    <t>Contruction Time</t>
  </si>
  <si>
    <t>Small Research Lab Design</t>
  </si>
  <si>
    <t xml:space="preserve">Allows you to build Small Research Labs.  Research labs are required to carry out research into to designs and advances in a number of field </t>
  </si>
  <si>
    <t>Large Research Lab Design</t>
  </si>
  <si>
    <t xml:space="preserve">Allows you to build Large Research Labs.  Research labs are required to carry out research into to designs and advances in a number of field </t>
  </si>
  <si>
    <t>Allows for an additional Research to be undertaken in each colony turn.  This effect stacks</t>
  </si>
  <si>
    <t>Orbital Research Lab</t>
  </si>
  <si>
    <t>Allows for the building of Large facilities used for research in Space.</t>
  </si>
  <si>
    <t>Mineral Extractor</t>
  </si>
  <si>
    <t>Building of Mineral Extractors for the productions of Raw Materials</t>
  </si>
  <si>
    <t>Automated Mining Facilities</t>
  </si>
  <si>
    <t>Automated Mining and Droid Production facilities</t>
  </si>
  <si>
    <t>Can build Automated mining facilities</t>
  </si>
  <si>
    <t>Fuel Extractors</t>
  </si>
  <si>
    <t>Fuel Extractor Research</t>
  </si>
  <si>
    <t>Can build Fuel Extractors</t>
  </si>
  <si>
    <t>Can build Refinery Facilities</t>
  </si>
  <si>
    <t>Can build Gas Cloud Mining Stations</t>
  </si>
  <si>
    <t>Can build Small Mining Outpost</t>
  </si>
  <si>
    <t>can be constructed on planets that have not been colonised and will benefit from planet type bonuses.</t>
  </si>
  <si>
    <t>Can build Medium Mining Outpost</t>
  </si>
  <si>
    <t>Can build Large Mining Outpost</t>
  </si>
  <si>
    <t>Farms</t>
  </si>
  <si>
    <t>Can Build Farms</t>
  </si>
  <si>
    <t>Automated Farms</t>
  </si>
  <si>
    <t>Can Build Automated Farms</t>
  </si>
  <si>
    <t>Orbital Farms</t>
  </si>
  <si>
    <t>Can buid Orbital Farms</t>
  </si>
  <si>
    <t>Increase Capital Ship Consumables by 1 Month</t>
  </si>
  <si>
    <t>Solid Fuel Power Generator</t>
  </si>
  <si>
    <t>Can Build Solid Fuel Power Generator</t>
  </si>
  <si>
    <t>Solar Power Generator</t>
  </si>
  <si>
    <t>Can Build Solar Fuel Power Generator</t>
  </si>
  <si>
    <t>Wind Power Generator</t>
  </si>
  <si>
    <t>Can Build Wind Fuel Power Generator</t>
  </si>
  <si>
    <t>Hydroelectric Power Generators</t>
  </si>
  <si>
    <t>Can Build Hydroelectric Fuel Power Generator</t>
  </si>
  <si>
    <t>Orbital Solar Power Generators</t>
  </si>
  <si>
    <t>Can build Orbital and Solar Power Generators</t>
  </si>
  <si>
    <t>Geothermal Generators</t>
  </si>
  <si>
    <t>Can Build Geothermal Fuel Power Generator</t>
  </si>
  <si>
    <t>System Sensor Net</t>
  </si>
  <si>
    <t>Can produce a System Sensor net</t>
  </si>
  <si>
    <t>Can monitor movement within the star system where this is installed</t>
  </si>
  <si>
    <t>Trade Ports</t>
  </si>
  <si>
    <t>Space Station Design and Deep Space Trade</t>
  </si>
  <si>
    <t>Can build Trade Ports Facilities</t>
  </si>
  <si>
    <t xml:space="preserve">Huge Cargo Holds </t>
  </si>
  <si>
    <t>Can build trade fleets linking two Trade Ports</t>
  </si>
  <si>
    <t>Ground Based Hangers</t>
  </si>
  <si>
    <t>Can build ground based Fighter Hangers</t>
  </si>
  <si>
    <t>Each Hangar can hold one Wing of Starfighters</t>
  </si>
  <si>
    <t>Can produce Proximity mines for use in high orbit or space mine fields</t>
  </si>
  <si>
    <t>Can produce Planetary Shields</t>
  </si>
  <si>
    <t>Overlapping Planetary Shields</t>
  </si>
  <si>
    <t>Can Produced Overlapping Planetary Shield Arrays</t>
  </si>
  <si>
    <t>Satellite</t>
  </si>
  <si>
    <t>Can build Satelites</t>
  </si>
  <si>
    <t>Extends Communications</t>
  </si>
  <si>
    <t>Small Space Station</t>
  </si>
  <si>
    <t>Can build Small Space Stations</t>
  </si>
  <si>
    <t>Can build orbital and deep space Fighter Hangers</t>
  </si>
  <si>
    <t>Can build Asteroid Mining Stations</t>
  </si>
  <si>
    <t>Small Military Stations</t>
  </si>
  <si>
    <t>Can Build Small Military Space Stations</t>
  </si>
  <si>
    <t>Small Military Outpost</t>
  </si>
  <si>
    <t>Can Build Small Military Outpost</t>
  </si>
  <si>
    <t>Medium Military Outpost</t>
  </si>
  <si>
    <t>Can Build Medium Military Outpost</t>
  </si>
  <si>
    <t>Can Build Large Military Outpost</t>
  </si>
  <si>
    <t>Can Build A Small Repulsorlift Factory</t>
  </si>
  <si>
    <t>Can produce 6 Speeder Scale Vehicles per Colony Turn</t>
  </si>
  <si>
    <t>Can Build A Medium Repulsorlift Factory</t>
  </si>
  <si>
    <t>Can produce 12 Speeder Scale Vehicles Per Colony Turn</t>
  </si>
  <si>
    <t>Can Build A Large Repulsorlift Factory</t>
  </si>
  <si>
    <t>Can produce 24 Speeder Scale Vehicles Per Colony Turn</t>
  </si>
  <si>
    <t>Can Build A Small Walker Factory</t>
  </si>
  <si>
    <t>Can produce 3 Walker Scale Vehicles Per Colony Turn</t>
  </si>
  <si>
    <t>Can Build A Medium Walker Factory</t>
  </si>
  <si>
    <t>Can produce 6 Walker Scale Vehicles Per Colony Turn</t>
  </si>
  <si>
    <t>Can Build A Large Walker Factory</t>
  </si>
  <si>
    <t>Can produce 12 Walker Scale Vehicles Per Colony Turn</t>
  </si>
  <si>
    <t>Small Droid Factory</t>
  </si>
  <si>
    <t>Can Build Small Droid Factory</t>
  </si>
  <si>
    <t>Can produce 50 Droid Units per Colony Turn.  Can produce an equal number of Skillware Packages per Colony Turn once unlocked.</t>
  </si>
  <si>
    <t>Small Computer Factory</t>
  </si>
  <si>
    <t>Can Build Small Computer Factory</t>
  </si>
  <si>
    <t>Can Produce 50 Units per Colony Turn</t>
  </si>
  <si>
    <t>Planet Wide Holonet Network</t>
  </si>
  <si>
    <t>Can Build Planet Wide Holonet Network</t>
  </si>
  <si>
    <t>Allows full communications, broadcast and data exchange planet wide</t>
  </si>
  <si>
    <t>Medium Droid Factory</t>
  </si>
  <si>
    <t>Can Build Medium Droid Factory</t>
  </si>
  <si>
    <t>Can produce 100 Droid Units per Colony Turn.  Can produce an equal number of Skillware Packages per Colony Turn once unlocked.</t>
  </si>
  <si>
    <t>Medium Computer Factory</t>
  </si>
  <si>
    <t>Can Build Medium Computer Factory</t>
  </si>
  <si>
    <t>Can Produce 100 Units per Colony Turn</t>
  </si>
  <si>
    <t>Intra-System Holonet Network</t>
  </si>
  <si>
    <t>Can Build Intra System Holonet Network</t>
  </si>
  <si>
    <t>Allows full communications, broadcast and data exchange throughout system</t>
  </si>
  <si>
    <t>Large Droid Factory</t>
  </si>
  <si>
    <t>Can Build Large Droid Factory</t>
  </si>
  <si>
    <t>Can produce 200 Droid Units per Colony Turn.  Can produce an equal number of Skillware Packages per Colony Turn once unlocked.</t>
  </si>
  <si>
    <t>Large Computer Factory</t>
  </si>
  <si>
    <t>Can Build Large Computer Factory</t>
  </si>
  <si>
    <t>Can Produce 200 Units per Colony Turn</t>
  </si>
  <si>
    <t>Inter-System Holonet Network</t>
  </si>
  <si>
    <t>Can Build Inter System Holonet Network</t>
  </si>
  <si>
    <t>Allows full communications, broadcast and data exchange beyond the system as long as the adjoining system has an Intra-system Network.</t>
  </si>
  <si>
    <t>Super Computer</t>
  </si>
  <si>
    <t>Can build Super Computer</t>
  </si>
  <si>
    <t>Can Construct a Super Computer which assists with Civic Governance and Research (see additional rules under colony rules)</t>
  </si>
  <si>
    <t>Ship Board AI Research</t>
  </si>
  <si>
    <t>Can build Ship Board AI</t>
  </si>
  <si>
    <t>Can construct an AI to be installed on a Capital Ship (see additional rules under colony rules)</t>
  </si>
  <si>
    <t>AI Holoprojector</t>
  </si>
  <si>
    <t>AI Holoprojector Research</t>
  </si>
  <si>
    <t>Can Build Holoprojection Systems</t>
  </si>
  <si>
    <t>Can install a Holographic projection system throughout a Capital Ship with an AI providing the AI with a Holographic Image that they can project anywhere within the ship.</t>
  </si>
  <si>
    <t>Small Weapons Manufacturing Plant</t>
  </si>
  <si>
    <t>Can build Small Weapons Manufacturing Plant</t>
  </si>
  <si>
    <t>Allows the production of 100 units per Colony Turn</t>
  </si>
  <si>
    <t>Medium Weapons Manufacturing Plant</t>
  </si>
  <si>
    <t>Can build Medium Weapons Manufacturing Plant</t>
  </si>
  <si>
    <t>Allows the production of 500 units per Colony Turn</t>
  </si>
  <si>
    <t>Large Weapons Manufacturing Plant</t>
  </si>
  <si>
    <t>Can build Large Weapons Manufacturing Plant</t>
  </si>
  <si>
    <t>Allows the production of 1000 units per Colony Turn</t>
  </si>
  <si>
    <t>Small Starfighter Factory</t>
  </si>
  <si>
    <t>Can Build Small Starfighter Factory</t>
  </si>
  <si>
    <t>Allows the production of 6 Starfighters or 3 Light Freighters or 1 Medium Freighter per Colony Turn</t>
  </si>
  <si>
    <t>Medium Starfighter Factory</t>
  </si>
  <si>
    <t>Can Build Medium Starfighter Factory</t>
  </si>
  <si>
    <t>Allows the production of 12 Starfighters or 6 Light Freighters, 2 Medium Freighter or 1 Light Transport per Colony Turn</t>
  </si>
  <si>
    <t>Large Starfighter Factory</t>
  </si>
  <si>
    <t>Can Build Large Starfighter Factory</t>
  </si>
  <si>
    <t>Allows the production of 24 Starfighters or 12 Light Freighters, 4 Medium Freighter or 2 Light Transport per Colony Turn</t>
  </si>
  <si>
    <t>Small Capital Ship Dock</t>
  </si>
  <si>
    <t>Can Build Small Capital Ship Dock</t>
  </si>
  <si>
    <t>Allows the Production of 1 Capital Ship of 200m or less per Colony Turn</t>
  </si>
  <si>
    <t>Medium Capital Ship Dock</t>
  </si>
  <si>
    <t>Can Build Medium Capital Ship Dock</t>
  </si>
  <si>
    <t>Allows the Production of 1 Capital Ship of less than 600m per 3 Colony Turns</t>
  </si>
  <si>
    <t>Large Capital Ship Dock</t>
  </si>
  <si>
    <t>Can Build Large Capital Ship Dock</t>
  </si>
  <si>
    <t>Allows the Production of 1 Capital Ship of greater than 600m per 6 Colony Turns</t>
  </si>
  <si>
    <t>Orbital Ship Yards Facilities</t>
  </si>
  <si>
    <t>Can Build Orbital Ship Yards Facilities</t>
  </si>
  <si>
    <t>Allows the Construction of upto 3 Capital Scale ships (per Turn for less than 200m, per 3 Turns for upto 600m and per 6 Turns for greater than 600m) and 36 Starfighters per turn.</t>
  </si>
  <si>
    <t>Military Boot Camp</t>
  </si>
  <si>
    <t>Can Buid MIlitary Boot Camps</t>
  </si>
  <si>
    <t>Each Military Boot Camp can train 100 Soldiers or Naval Crew per month</t>
  </si>
  <si>
    <t>Asteroid Mining Barges</t>
  </si>
  <si>
    <t>Asteroid Mining Ships and A Starfighter Factory</t>
  </si>
  <si>
    <t xml:space="preserve">Can construct Asteroid Mining Barges </t>
  </si>
  <si>
    <t>Quantities made depends on the Colony Factory capacity. Incomes are per ship produced</t>
  </si>
  <si>
    <t>Small Fabrication Factory</t>
  </si>
  <si>
    <t>Can build Small Fabrication Factory</t>
  </si>
  <si>
    <t>Medium Fabrication Factory</t>
  </si>
  <si>
    <t>Can build Medium Fabrication Factory</t>
  </si>
  <si>
    <t>Large Fabrication Factory</t>
  </si>
  <si>
    <t>Can build Large Fabrication Factory</t>
  </si>
  <si>
    <t>Mining Barges (Speeder Scale)</t>
  </si>
  <si>
    <t>Can travel and mine resources outside of established facilities</t>
  </si>
  <si>
    <t>Can be produced in appropriate facilities with necessary Blueprints</t>
  </si>
  <si>
    <t>Mining Barges (Walker Scale)</t>
  </si>
  <si>
    <t>Mining Barges (Starfighter Scale)</t>
  </si>
  <si>
    <t>-</t>
  </si>
  <si>
    <t>Mining Barges (Capital Scale)</t>
  </si>
  <si>
    <t>Embassy</t>
  </si>
  <si>
    <t>Allows for Diplomatic outpost on another planet</t>
  </si>
  <si>
    <t>Real time news and negotiation with other planet.</t>
  </si>
  <si>
    <t>totals</t>
  </si>
  <si>
    <t>Research Field</t>
  </si>
  <si>
    <t>Mining</t>
  </si>
  <si>
    <t>Research</t>
  </si>
  <si>
    <t>Military</t>
  </si>
  <si>
    <t>Ship Design</t>
  </si>
  <si>
    <t>Weapons</t>
  </si>
  <si>
    <t>Agricultural</t>
  </si>
  <si>
    <t>Colonisation</t>
  </si>
  <si>
    <t>Infrastructure</t>
  </si>
  <si>
    <t>Planetary Defences</t>
  </si>
  <si>
    <t>Diplomacy</t>
  </si>
  <si>
    <t xml:space="preserve">Commerce </t>
  </si>
  <si>
    <t xml:space="preserve">Space Staion </t>
  </si>
  <si>
    <t>Droid and Computers</t>
  </si>
  <si>
    <t>Repulsorlift and Ground Vehicles</t>
  </si>
  <si>
    <t>Advanced Mettalurgy</t>
  </si>
  <si>
    <t>Small Starfighter Production Factory</t>
  </si>
  <si>
    <t>Automated Farming</t>
  </si>
  <si>
    <t>Systems Holonet</t>
  </si>
  <si>
    <t>Small Repulsorlift Factory Blue Prints</t>
  </si>
  <si>
    <t>Small Capital Ship Production Factory</t>
  </si>
  <si>
    <t>Weapons Manufacturing Plant</t>
  </si>
  <si>
    <t>Space Station Desing</t>
  </si>
  <si>
    <t>Droid Factory</t>
  </si>
  <si>
    <t xml:space="preserve">Mineral Extractor </t>
  </si>
  <si>
    <t>Burst Rockets</t>
  </si>
  <si>
    <t>Computer Factory</t>
  </si>
  <si>
    <t>Fuel Extractor</t>
  </si>
  <si>
    <t>Jump Disruption</t>
  </si>
  <si>
    <t>High Yield Crops</t>
  </si>
  <si>
    <t xml:space="preserve">Fuel Mining </t>
  </si>
  <si>
    <t>Advanced Fire Control</t>
  </si>
  <si>
    <t>Hydroponics Bays</t>
  </si>
  <si>
    <t>Advanced Breeding Programs</t>
  </si>
  <si>
    <t>Computer Aided Research</t>
  </si>
  <si>
    <t>quick gauss capacitor</t>
  </si>
  <si>
    <t>Highly Conductive Rails</t>
  </si>
  <si>
    <t>Enhanced ACM</t>
  </si>
  <si>
    <t>Refined Propellants</t>
  </si>
  <si>
    <t>Cyclotaurite Payloads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</si>
</sst>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horizontal="center" vertical="center" wrapText="1"/>
    </xf>
    <xf numFmtId="0" fontId="0" fillId="0" borderId="0" xfId="0" applyAlignment="1">
      <alignment horizontal="center" vertical="center" wrapText="1"/>
    </xf>
    <xf numFmtId="3" fontId="0" fillId="0" borderId="0" xfId="0" applyNumberFormat="1" applyAlignment="1">
      <alignment horizontal="center" vertical="center" wrapText="1"/>
    </xf>
    <xf numFmtId="0" fontId="0" fillId="2" borderId="0" xfId="0" applyFill="1" applyAlignment="1">
      <alignment wrapText="1"/>
    </xf>
    <xf numFmtId="0" fontId="1" fillId="2" borderId="0" xfId="0" applyFont="1" applyFill="1" applyAlignment="1">
      <alignment wrapText="1"/>
    </xf>
    <xf numFmtId="0" fontId="0" fillId="3" borderId="1" xfId="0" applyFill="1" applyBorder="1" applyAlignment="1">
      <alignment wrapText="1"/>
    </xf>
    <xf numFmtId="0" fontId="0" fillId="0" borderId="1" xfId="0" applyBorder="1" applyAlignment="1">
      <alignment horizontal="center" vertical="center" wrapText="1"/>
    </xf>
    <xf numFmtId="3" fontId="1" fillId="0" borderId="0" xfId="0" applyNumberFormat="1" applyFont="1" applyAlignment="1">
      <alignment wrapText="1"/>
    </xf>
    <xf numFmtId="3" fontId="0" fillId="0" borderId="0" xfId="0" applyNumberFormat="1" applyAlignment="1">
      <alignment wrapText="1"/>
    </xf>
    <xf numFmtId="3" fontId="1" fillId="0" borderId="0" xfId="0" applyNumberFormat="1" applyFont="1" applyAlignment="1">
      <alignment horizontal="center" vertical="center" wrapText="1"/>
    </xf>
    <xf numFmtId="3" fontId="0" fillId="0" borderId="0" xfId="0" applyNumberFormat="1" applyAlignment="1">
      <alignment horizontal="center" vertical="center"/>
    </xf>
    <xf numFmtId="3" fontId="1" fillId="0" borderId="0" xfId="0" applyNumberFormat="1" applyFont="1" applyAlignment="1">
      <alignment horizontal="center" wrapText="1"/>
    </xf>
    <xf numFmtId="3" fontId="1" fillId="0" borderId="0" xfId="0" applyNumberFormat="1"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topLeftCell="C25" zoomScaleNormal="100" workbookViewId="0">
      <selection activeCell="E33" sqref="E33:H33"/>
    </sheetView>
  </sheetViews>
  <sheetFormatPr defaultRowHeight="15"/>
  <cols>
    <col min="1" max="1" width="16.140625" style="4" bestFit="1" customWidth="1"/>
    <col min="2" max="2" width="19.42578125" style="4" bestFit="1" customWidth="1"/>
    <col min="3" max="3" width="39.140625" style="4" customWidth="1"/>
    <col min="4" max="4" width="33.5703125" style="4" customWidth="1"/>
    <col min="5" max="5" width="24.28515625" style="4" bestFit="1" customWidth="1"/>
    <col min="6" max="7" width="9.140625" style="4"/>
    <col min="8" max="8" width="10.5703125" style="4" bestFit="1" customWidth="1"/>
    <col min="9" max="16384" width="9.140625" style="4"/>
  </cols>
  <sheetData>
    <row r="1" spans="1:5">
      <c r="A1" s="3" t="s">
        <v>0</v>
      </c>
      <c r="B1" s="3" t="s">
        <v>1</v>
      </c>
      <c r="C1" s="3" t="s">
        <v>2</v>
      </c>
      <c r="D1" s="3" t="s">
        <v>3</v>
      </c>
      <c r="E1" s="3" t="s">
        <v>4</v>
      </c>
    </row>
    <row r="2" spans="1:5">
      <c r="A2" s="4" t="s">
        <v>5</v>
      </c>
      <c r="B2" s="4" t="s">
        <v>6</v>
      </c>
      <c r="C2" s="4" t="s">
        <v>7</v>
      </c>
      <c r="D2" s="4" t="s">
        <v>8</v>
      </c>
      <c r="E2" s="4" t="s">
        <v>9</v>
      </c>
    </row>
    <row r="3" spans="1:5" ht="30">
      <c r="A3" s="4" t="s">
        <v>10</v>
      </c>
      <c r="B3" s="4" t="s">
        <v>11</v>
      </c>
      <c r="C3" s="4" t="s">
        <v>12</v>
      </c>
      <c r="D3" s="4" t="s">
        <v>13</v>
      </c>
      <c r="E3" s="4" t="s">
        <v>14</v>
      </c>
    </row>
    <row r="4" spans="1:5">
      <c r="B4" s="4" t="s">
        <v>15</v>
      </c>
      <c r="C4" s="4" t="s">
        <v>16</v>
      </c>
      <c r="D4" s="4" t="s">
        <v>17</v>
      </c>
    </row>
    <row r="5" spans="1:5">
      <c r="B5" s="4" t="s">
        <v>18</v>
      </c>
      <c r="C5" s="4" t="s">
        <v>19</v>
      </c>
      <c r="D5" s="4" t="s">
        <v>20</v>
      </c>
    </row>
    <row r="6" spans="1:5">
      <c r="C6" s="4" t="s">
        <v>21</v>
      </c>
      <c r="D6" s="4" t="s">
        <v>22</v>
      </c>
    </row>
    <row r="7" spans="1:5">
      <c r="C7" s="4" t="s">
        <v>23</v>
      </c>
      <c r="D7" s="4" t="s">
        <v>24</v>
      </c>
    </row>
    <row r="8" spans="1:5">
      <c r="C8" s="4" t="s">
        <v>25</v>
      </c>
    </row>
    <row r="9" spans="1:5">
      <c r="C9" s="4" t="s">
        <v>26</v>
      </c>
    </row>
    <row r="10" spans="1:5">
      <c r="C10" s="4" t="s">
        <v>27</v>
      </c>
    </row>
    <row r="22" spans="1:9" ht="30">
      <c r="A22" s="3" t="s">
        <v>28</v>
      </c>
      <c r="B22" s="3" t="s">
        <v>29</v>
      </c>
      <c r="C22" s="3" t="s">
        <v>30</v>
      </c>
      <c r="D22" s="3" t="s">
        <v>31</v>
      </c>
      <c r="E22" s="3" t="s">
        <v>32</v>
      </c>
      <c r="F22" s="3" t="s">
        <v>33</v>
      </c>
      <c r="G22" s="3" t="s">
        <v>34</v>
      </c>
      <c r="H22" s="3" t="s">
        <v>35</v>
      </c>
      <c r="I22" s="3" t="s">
        <v>36</v>
      </c>
    </row>
    <row r="23" spans="1:9" ht="30.75">
      <c r="A23" s="4" t="s">
        <v>37</v>
      </c>
      <c r="B23" s="4" t="s">
        <v>38</v>
      </c>
      <c r="C23" s="4" t="s">
        <v>39</v>
      </c>
      <c r="E23" s="5">
        <v>50000</v>
      </c>
      <c r="F23" s="4">
        <v>1500</v>
      </c>
      <c r="G23" s="4">
        <v>1000</v>
      </c>
      <c r="H23" s="4">
        <v>500</v>
      </c>
    </row>
    <row r="24" spans="1:9">
      <c r="A24" s="4" t="s">
        <v>6</v>
      </c>
      <c r="B24" s="4" t="s">
        <v>5</v>
      </c>
      <c r="C24" s="4" t="s">
        <v>40</v>
      </c>
      <c r="E24" s="5">
        <v>25000</v>
      </c>
      <c r="F24" s="4">
        <v>2000</v>
      </c>
      <c r="G24" s="4">
        <v>3000</v>
      </c>
      <c r="H24" s="4">
        <v>1000</v>
      </c>
    </row>
    <row r="25" spans="1:9" ht="76.5">
      <c r="A25" s="4" t="s">
        <v>41</v>
      </c>
      <c r="B25" s="4" t="s">
        <v>5</v>
      </c>
      <c r="C25" s="4" t="s">
        <v>42</v>
      </c>
      <c r="E25" s="4">
        <v>10000</v>
      </c>
      <c r="F25" s="4">
        <v>3000</v>
      </c>
      <c r="G25" s="4">
        <v>3000</v>
      </c>
      <c r="H25" s="4">
        <v>1000</v>
      </c>
    </row>
    <row r="26" spans="1:9">
      <c r="A26" s="4" t="s">
        <v>15</v>
      </c>
      <c r="B26" s="4" t="s">
        <v>5</v>
      </c>
      <c r="C26" s="4" t="s">
        <v>43</v>
      </c>
      <c r="E26" s="4">
        <v>25000</v>
      </c>
      <c r="F26" s="4">
        <v>1000</v>
      </c>
      <c r="G26" s="4">
        <v>1000</v>
      </c>
      <c r="H26" s="4">
        <v>500</v>
      </c>
    </row>
    <row r="27" spans="1:9" ht="30.75">
      <c r="A27" s="4" t="s">
        <v>44</v>
      </c>
      <c r="B27" s="4" t="s">
        <v>5</v>
      </c>
      <c r="C27" s="4" t="s">
        <v>45</v>
      </c>
      <c r="E27" s="4">
        <v>25000</v>
      </c>
      <c r="F27" s="4">
        <v>1000</v>
      </c>
      <c r="G27" s="4">
        <v>1000</v>
      </c>
      <c r="H27" s="4">
        <v>500</v>
      </c>
    </row>
    <row r="28" spans="1:9" ht="30">
      <c r="A28" s="4" t="s">
        <v>7</v>
      </c>
      <c r="B28" s="4" t="s">
        <v>6</v>
      </c>
      <c r="C28" s="4" t="s">
        <v>46</v>
      </c>
      <c r="E28" s="4">
        <v>25000</v>
      </c>
      <c r="F28" s="4">
        <v>500</v>
      </c>
      <c r="G28" s="4">
        <v>500</v>
      </c>
      <c r="H28" s="4">
        <v>100</v>
      </c>
    </row>
    <row r="29" spans="1:9" ht="30.75">
      <c r="A29" s="4" t="s">
        <v>47</v>
      </c>
      <c r="B29" s="4" t="s">
        <v>6</v>
      </c>
      <c r="C29" s="4" t="s">
        <v>48</v>
      </c>
      <c r="E29" s="4">
        <v>15000</v>
      </c>
      <c r="F29" s="4">
        <v>250</v>
      </c>
      <c r="G29" s="4">
        <v>250</v>
      </c>
      <c r="H29" s="4">
        <v>100</v>
      </c>
    </row>
    <row r="30" spans="1:9" ht="45">
      <c r="A30" s="4" t="s">
        <v>49</v>
      </c>
      <c r="B30" s="4" t="s">
        <v>6</v>
      </c>
      <c r="C30" s="4" t="s">
        <v>50</v>
      </c>
      <c r="E30" s="4">
        <v>30000</v>
      </c>
      <c r="F30" s="4">
        <v>500</v>
      </c>
      <c r="G30" s="4">
        <v>500</v>
      </c>
      <c r="H30" s="4">
        <v>250</v>
      </c>
    </row>
    <row r="31" spans="1:9">
      <c r="A31" s="4" t="s">
        <v>51</v>
      </c>
      <c r="B31" s="4" t="s">
        <v>6</v>
      </c>
      <c r="C31" s="4" t="s">
        <v>52</v>
      </c>
      <c r="E31" s="4">
        <v>30000</v>
      </c>
      <c r="F31" s="4">
        <v>500</v>
      </c>
      <c r="G31" s="4">
        <v>500</v>
      </c>
      <c r="H31" s="4">
        <v>250</v>
      </c>
    </row>
    <row r="32" spans="1:9" ht="30">
      <c r="A32" s="4" t="s">
        <v>21</v>
      </c>
      <c r="B32" s="4" t="s">
        <v>6</v>
      </c>
      <c r="C32" s="4" t="s">
        <v>53</v>
      </c>
      <c r="E32" s="4">
        <v>20000</v>
      </c>
      <c r="F32" s="4">
        <v>200</v>
      </c>
      <c r="G32" s="4">
        <v>200</v>
      </c>
      <c r="H32" s="4">
        <v>100</v>
      </c>
    </row>
    <row r="33" spans="1:8" ht="45">
      <c r="A33" s="4" t="s">
        <v>23</v>
      </c>
      <c r="B33" s="4" t="s">
        <v>6</v>
      </c>
      <c r="C33" s="4" t="s">
        <v>54</v>
      </c>
      <c r="E33" s="4">
        <v>20000</v>
      </c>
      <c r="F33" s="4">
        <v>200</v>
      </c>
      <c r="G33" s="4">
        <v>200</v>
      </c>
      <c r="H33" s="4">
        <v>100</v>
      </c>
    </row>
    <row r="34" spans="1:8" ht="30">
      <c r="A34" s="4" t="s">
        <v>25</v>
      </c>
      <c r="B34" s="4" t="s">
        <v>6</v>
      </c>
      <c r="C34" s="4" t="s">
        <v>55</v>
      </c>
      <c r="E34" s="4">
        <v>30000</v>
      </c>
      <c r="F34" s="4">
        <v>200</v>
      </c>
      <c r="G34" s="4">
        <v>200</v>
      </c>
      <c r="H34" s="4">
        <v>100</v>
      </c>
    </row>
    <row r="35" spans="1:8" ht="30">
      <c r="A35" s="4" t="s">
        <v>26</v>
      </c>
      <c r="B35" s="4" t="s">
        <v>6</v>
      </c>
      <c r="C35" s="4" t="s">
        <v>56</v>
      </c>
      <c r="E35" s="4">
        <v>25000</v>
      </c>
      <c r="F35" s="4">
        <v>300</v>
      </c>
      <c r="G35" s="4">
        <v>300</v>
      </c>
      <c r="H35" s="4">
        <v>150</v>
      </c>
    </row>
    <row r="36" spans="1:8" ht="45">
      <c r="A36" s="4" t="s">
        <v>27</v>
      </c>
      <c r="B36" s="4" t="s">
        <v>6</v>
      </c>
      <c r="C36" s="4" t="s">
        <v>57</v>
      </c>
      <c r="E36" s="4">
        <v>25000</v>
      </c>
      <c r="F36" s="4">
        <v>500</v>
      </c>
      <c r="G36" s="4">
        <v>500</v>
      </c>
      <c r="H36" s="4">
        <v>250</v>
      </c>
    </row>
    <row r="37" spans="1:8" ht="90">
      <c r="A37" s="4" t="s">
        <v>22</v>
      </c>
      <c r="B37" s="4" t="s">
        <v>58</v>
      </c>
      <c r="C37" s="4" t="s">
        <v>59</v>
      </c>
      <c r="D37" s="4" t="s">
        <v>60</v>
      </c>
      <c r="E37" s="4">
        <v>10000</v>
      </c>
      <c r="F37" s="4">
        <v>100</v>
      </c>
      <c r="G37" s="4">
        <v>100</v>
      </c>
      <c r="H37" s="4">
        <v>100</v>
      </c>
    </row>
    <row r="38" spans="1:8" ht="30">
      <c r="A38" s="4" t="s">
        <v>8</v>
      </c>
      <c r="B38" s="4" t="s">
        <v>7</v>
      </c>
      <c r="C38" s="4" t="s">
        <v>61</v>
      </c>
      <c r="E38" s="4">
        <v>35000</v>
      </c>
      <c r="F38" s="4">
        <v>2000</v>
      </c>
      <c r="G38" s="4">
        <v>2000</v>
      </c>
      <c r="H38" s="4">
        <v>1000</v>
      </c>
    </row>
    <row r="39" spans="1:8" ht="60.75">
      <c r="A39" s="4" t="s">
        <v>13</v>
      </c>
      <c r="B39" s="4" t="s">
        <v>62</v>
      </c>
      <c r="C39" s="4" t="s">
        <v>63</v>
      </c>
      <c r="E39" s="4">
        <v>15000</v>
      </c>
      <c r="F39" s="4">
        <v>300</v>
      </c>
      <c r="G39" s="4">
        <v>300</v>
      </c>
      <c r="H39" s="4">
        <v>150</v>
      </c>
    </row>
    <row r="40" spans="1:8" ht="45">
      <c r="A40" s="4" t="s">
        <v>17</v>
      </c>
      <c r="B40" s="4" t="s">
        <v>64</v>
      </c>
      <c r="C40" s="4" t="s">
        <v>65</v>
      </c>
      <c r="E40" s="4">
        <v>30000</v>
      </c>
      <c r="F40" s="4">
        <v>2500</v>
      </c>
      <c r="G40" s="4">
        <v>2500</v>
      </c>
      <c r="H40" s="4">
        <v>300</v>
      </c>
    </row>
    <row r="41" spans="1:8" ht="45">
      <c r="A41" s="4" t="s">
        <v>20</v>
      </c>
      <c r="B41" s="4" t="s">
        <v>66</v>
      </c>
      <c r="C41" s="4" t="s">
        <v>67</v>
      </c>
      <c r="E41" s="4">
        <v>45000</v>
      </c>
      <c r="F41" s="4">
        <v>300</v>
      </c>
      <c r="G41" s="4">
        <v>300</v>
      </c>
      <c r="H41" s="4">
        <v>150</v>
      </c>
    </row>
    <row r="42" spans="1:8" ht="45">
      <c r="A42" s="4" t="s">
        <v>9</v>
      </c>
      <c r="B42" s="4" t="s">
        <v>68</v>
      </c>
      <c r="C42" s="4" t="s">
        <v>69</v>
      </c>
      <c r="E42" s="4">
        <v>40000</v>
      </c>
      <c r="F42" s="4">
        <v>1000</v>
      </c>
      <c r="G42" s="4">
        <v>1000</v>
      </c>
      <c r="H42" s="4">
        <v>500</v>
      </c>
    </row>
    <row r="43" spans="1:8" ht="30">
      <c r="A43" s="4" t="s">
        <v>14</v>
      </c>
      <c r="B43" s="4" t="s">
        <v>8</v>
      </c>
      <c r="C43" s="4" t="s">
        <v>70</v>
      </c>
      <c r="E43" s="4">
        <v>35000</v>
      </c>
      <c r="F43" s="4">
        <v>300</v>
      </c>
      <c r="G43" s="4">
        <v>300</v>
      </c>
      <c r="H43" s="4">
        <v>150</v>
      </c>
    </row>
    <row r="44" spans="1:8" ht="30.75">
      <c r="A44" s="4" t="s">
        <v>10</v>
      </c>
      <c r="B44" s="4" t="s">
        <v>38</v>
      </c>
      <c r="C44" s="4" t="s">
        <v>71</v>
      </c>
      <c r="E44" s="4">
        <v>10000</v>
      </c>
      <c r="F44" s="4">
        <v>100</v>
      </c>
      <c r="G44" s="4">
        <v>100</v>
      </c>
      <c r="H44" s="4">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20"/>
  <sheetViews>
    <sheetView tabSelected="1" workbookViewId="0">
      <selection activeCell="C13" sqref="C13"/>
    </sheetView>
  </sheetViews>
  <sheetFormatPr defaultRowHeight="15"/>
  <cols>
    <col min="1" max="2" width="16.5703125" style="4" bestFit="1" customWidth="1"/>
    <col min="3" max="3" width="24.28515625" style="4" bestFit="1" customWidth="1"/>
    <col min="4" max="5" width="24.7109375" style="4" bestFit="1" customWidth="1"/>
    <col min="6" max="16384" width="9.140625" style="4"/>
  </cols>
  <sheetData>
    <row r="2" spans="1:9">
      <c r="A2" s="3" t="s">
        <v>0</v>
      </c>
      <c r="B2" s="3" t="s">
        <v>1</v>
      </c>
      <c r="C2" s="3" t="s">
        <v>2</v>
      </c>
      <c r="D2" s="3" t="s">
        <v>3</v>
      </c>
      <c r="E2" s="3" t="s">
        <v>4</v>
      </c>
    </row>
    <row r="3" spans="1:9">
      <c r="A3" s="4" t="s">
        <v>72</v>
      </c>
      <c r="B3" s="4" t="s">
        <v>73</v>
      </c>
      <c r="C3" s="4" t="s">
        <v>74</v>
      </c>
      <c r="D3" s="4" t="s">
        <v>75</v>
      </c>
      <c r="E3" s="4" t="s">
        <v>76</v>
      </c>
    </row>
    <row r="4" spans="1:9">
      <c r="A4" s="4" t="s">
        <v>77</v>
      </c>
      <c r="C4" s="4" t="s">
        <v>78</v>
      </c>
    </row>
    <row r="5" spans="1:9">
      <c r="C5" s="4" t="s">
        <v>79</v>
      </c>
    </row>
    <row r="12" spans="1:9" ht="30">
      <c r="A12" s="3" t="s">
        <v>28</v>
      </c>
      <c r="B12" s="3" t="s">
        <v>29</v>
      </c>
      <c r="C12" s="3" t="s">
        <v>30</v>
      </c>
      <c r="D12" s="3" t="s">
        <v>31</v>
      </c>
      <c r="E12" s="3" t="s">
        <v>32</v>
      </c>
      <c r="F12" s="3" t="s">
        <v>33</v>
      </c>
      <c r="G12" s="3" t="s">
        <v>34</v>
      </c>
      <c r="H12" s="3" t="s">
        <v>35</v>
      </c>
      <c r="I12" s="3" t="s">
        <v>36</v>
      </c>
    </row>
    <row r="13" spans="1:9" ht="105">
      <c r="A13" s="4" t="s">
        <v>72</v>
      </c>
      <c r="B13" s="4" t="s">
        <v>15</v>
      </c>
      <c r="C13" s="4" t="s">
        <v>80</v>
      </c>
      <c r="D13" s="4" t="s">
        <v>81</v>
      </c>
      <c r="E13" s="4">
        <v>15000</v>
      </c>
      <c r="F13" s="4">
        <v>500</v>
      </c>
      <c r="G13" s="4">
        <v>1000</v>
      </c>
      <c r="H13" s="4">
        <v>200</v>
      </c>
    </row>
    <row r="14" spans="1:9" ht="60">
      <c r="A14" s="4" t="s">
        <v>77</v>
      </c>
      <c r="B14" s="4" t="s">
        <v>15</v>
      </c>
      <c r="C14" s="4" t="s">
        <v>82</v>
      </c>
      <c r="D14" s="4" t="s">
        <v>83</v>
      </c>
      <c r="E14" s="4">
        <v>15000</v>
      </c>
      <c r="F14" s="4">
        <v>500</v>
      </c>
      <c r="G14" s="4">
        <v>1000</v>
      </c>
      <c r="H14" s="4">
        <v>200</v>
      </c>
    </row>
    <row r="15" spans="1:9" ht="45">
      <c r="A15" s="4" t="s">
        <v>73</v>
      </c>
      <c r="B15" s="4" t="s">
        <v>72</v>
      </c>
      <c r="C15" s="4" t="s">
        <v>84</v>
      </c>
      <c r="D15" s="4" t="s">
        <v>85</v>
      </c>
      <c r="E15" s="4">
        <v>20000</v>
      </c>
      <c r="F15" s="4">
        <v>1000</v>
      </c>
      <c r="G15" s="4">
        <v>1500</v>
      </c>
      <c r="H15" s="4">
        <v>500</v>
      </c>
    </row>
    <row r="16" spans="1:9" ht="30">
      <c r="A16" s="4" t="s">
        <v>74</v>
      </c>
      <c r="B16" s="4" t="s">
        <v>73</v>
      </c>
      <c r="C16" s="4" t="s">
        <v>86</v>
      </c>
      <c r="D16" s="4" t="s">
        <v>87</v>
      </c>
      <c r="E16" s="4">
        <v>30000</v>
      </c>
      <c r="F16" s="4">
        <v>1500</v>
      </c>
      <c r="G16" s="4">
        <v>2000</v>
      </c>
      <c r="H16" s="4">
        <v>750</v>
      </c>
    </row>
    <row r="17" spans="1:8" ht="30">
      <c r="A17" s="4" t="s">
        <v>78</v>
      </c>
      <c r="B17" s="4" t="s">
        <v>73</v>
      </c>
      <c r="C17" s="4" t="s">
        <v>88</v>
      </c>
      <c r="D17" s="4" t="s">
        <v>89</v>
      </c>
      <c r="E17" s="4">
        <v>30000</v>
      </c>
      <c r="F17" s="4">
        <v>1500</v>
      </c>
      <c r="G17" s="4">
        <v>2000</v>
      </c>
      <c r="H17" s="4">
        <v>750</v>
      </c>
    </row>
    <row r="18" spans="1:8" ht="30">
      <c r="A18" s="4" t="s">
        <v>79</v>
      </c>
      <c r="B18" s="4" t="s">
        <v>73</v>
      </c>
      <c r="C18" s="4" t="s">
        <v>90</v>
      </c>
      <c r="D18" s="4" t="s">
        <v>91</v>
      </c>
      <c r="E18" s="4">
        <v>30000</v>
      </c>
      <c r="F18" s="4">
        <v>1500</v>
      </c>
      <c r="G18" s="4">
        <v>2000</v>
      </c>
      <c r="H18" s="4">
        <v>750</v>
      </c>
    </row>
    <row r="19" spans="1:8" ht="60">
      <c r="A19" s="4" t="s">
        <v>75</v>
      </c>
      <c r="B19" s="4" t="s">
        <v>92</v>
      </c>
      <c r="C19" s="4" t="s">
        <v>75</v>
      </c>
      <c r="D19" s="4" t="s">
        <v>93</v>
      </c>
      <c r="E19" s="4">
        <v>50000</v>
      </c>
      <c r="F19" s="4">
        <v>2000</v>
      </c>
      <c r="G19" s="4">
        <v>3000</v>
      </c>
      <c r="H19" s="4">
        <v>1000</v>
      </c>
    </row>
    <row r="20" spans="1:8" ht="30">
      <c r="A20" s="4" t="s">
        <v>76</v>
      </c>
      <c r="B20" s="4" t="s">
        <v>75</v>
      </c>
      <c r="C20" s="4" t="s">
        <v>76</v>
      </c>
      <c r="D20" s="4" t="s">
        <v>94</v>
      </c>
      <c r="E20" s="4">
        <v>50000</v>
      </c>
      <c r="F20" s="4">
        <v>2000</v>
      </c>
      <c r="G20" s="4">
        <v>3000</v>
      </c>
      <c r="H20" s="4">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8"/>
  <sheetViews>
    <sheetView topLeftCell="A19" workbookViewId="0">
      <selection activeCell="A29" sqref="A29"/>
    </sheetView>
  </sheetViews>
  <sheetFormatPr defaultRowHeight="15"/>
  <cols>
    <col min="1" max="1" width="23.42578125" style="4" customWidth="1"/>
    <col min="2" max="2" width="19.42578125" style="4" customWidth="1"/>
    <col min="3" max="3" width="17.7109375" style="4" customWidth="1"/>
    <col min="4" max="4" width="14.140625" style="4" customWidth="1"/>
    <col min="5" max="16384" width="9.140625" style="4"/>
  </cols>
  <sheetData>
    <row r="1" spans="1:20">
      <c r="A1" s="3" t="s">
        <v>0</v>
      </c>
      <c r="B1" s="3" t="s">
        <v>1</v>
      </c>
      <c r="C1" s="3" t="s">
        <v>2</v>
      </c>
      <c r="D1" s="3" t="s">
        <v>3</v>
      </c>
      <c r="E1" s="3" t="s">
        <v>4</v>
      </c>
    </row>
    <row r="2" spans="1:20" ht="60">
      <c r="A2" s="4" t="s">
        <v>95</v>
      </c>
      <c r="B2" s="4" t="s">
        <v>96</v>
      </c>
      <c r="C2" s="4" t="s">
        <v>97</v>
      </c>
      <c r="D2" s="4" t="s">
        <v>98</v>
      </c>
      <c r="E2" s="4" t="s">
        <v>99</v>
      </c>
    </row>
    <row r="3" spans="1:20" ht="30">
      <c r="B3" s="4" t="s">
        <v>100</v>
      </c>
      <c r="C3" s="4" t="s">
        <v>101</v>
      </c>
      <c r="D3" s="4" t="s">
        <v>102</v>
      </c>
    </row>
    <row r="6" spans="1:20">
      <c r="T6"/>
    </row>
    <row r="7" spans="1:20">
      <c r="T7"/>
    </row>
    <row r="8" spans="1:20">
      <c r="T8"/>
    </row>
    <row r="9" spans="1:20">
      <c r="T9"/>
    </row>
    <row r="10" spans="1:20">
      <c r="T10"/>
    </row>
    <row r="11" spans="1:20">
      <c r="T11"/>
    </row>
    <row r="20" spans="1:9" ht="30">
      <c r="A20" s="3" t="s">
        <v>28</v>
      </c>
      <c r="B20" s="3" t="s">
        <v>29</v>
      </c>
      <c r="C20" s="3" t="s">
        <v>30</v>
      </c>
      <c r="D20" s="3" t="s">
        <v>31</v>
      </c>
      <c r="E20" s="3" t="s">
        <v>32</v>
      </c>
      <c r="F20" s="3" t="s">
        <v>33</v>
      </c>
      <c r="G20" s="3" t="s">
        <v>34</v>
      </c>
      <c r="H20" s="3" t="s">
        <v>35</v>
      </c>
      <c r="I20" s="3" t="s">
        <v>36</v>
      </c>
    </row>
    <row r="21" spans="1:9" ht="30">
      <c r="A21" s="4" t="s">
        <v>95</v>
      </c>
      <c r="B21" s="4" t="s">
        <v>23</v>
      </c>
      <c r="C21" s="4" t="s">
        <v>103</v>
      </c>
      <c r="E21" s="4">
        <v>5000</v>
      </c>
      <c r="F21" s="4">
        <v>100</v>
      </c>
      <c r="G21" s="4">
        <v>100</v>
      </c>
      <c r="H21" s="4">
        <v>100</v>
      </c>
    </row>
    <row r="22" spans="1:9" ht="60">
      <c r="A22" s="4" t="s">
        <v>96</v>
      </c>
      <c r="B22" s="4" t="s">
        <v>95</v>
      </c>
      <c r="C22" s="4" t="s">
        <v>104</v>
      </c>
      <c r="E22" s="4">
        <v>10000</v>
      </c>
      <c r="F22" s="4">
        <v>200</v>
      </c>
      <c r="G22" s="4">
        <v>200</v>
      </c>
      <c r="H22" s="4">
        <v>100</v>
      </c>
    </row>
    <row r="23" spans="1:9" ht="30">
      <c r="A23" s="4" t="s">
        <v>100</v>
      </c>
      <c r="B23" s="4" t="s">
        <v>95</v>
      </c>
      <c r="C23" s="4" t="s">
        <v>105</v>
      </c>
      <c r="E23" s="4">
        <v>7500</v>
      </c>
      <c r="F23" s="4">
        <v>125</v>
      </c>
      <c r="G23" s="4">
        <v>125</v>
      </c>
      <c r="H23" s="4">
        <v>100</v>
      </c>
    </row>
    <row r="24" spans="1:9" ht="45">
      <c r="A24" s="4" t="s">
        <v>97</v>
      </c>
      <c r="B24" s="4" t="s">
        <v>106</v>
      </c>
      <c r="C24" s="4" t="s">
        <v>107</v>
      </c>
      <c r="E24" s="4">
        <v>10000</v>
      </c>
      <c r="F24" s="4">
        <v>200</v>
      </c>
      <c r="G24" s="4">
        <v>300</v>
      </c>
      <c r="H24" s="4">
        <v>150</v>
      </c>
    </row>
    <row r="25" spans="1:9" ht="30">
      <c r="A25" s="4" t="s">
        <v>101</v>
      </c>
      <c r="B25" s="4" t="s">
        <v>100</v>
      </c>
      <c r="C25" s="4" t="s">
        <v>108</v>
      </c>
      <c r="E25" s="4">
        <v>12500</v>
      </c>
      <c r="F25" s="4">
        <v>225</v>
      </c>
      <c r="G25" s="4">
        <v>225</v>
      </c>
      <c r="H25" s="4">
        <v>150</v>
      </c>
    </row>
    <row r="26" spans="1:9" ht="45">
      <c r="A26" s="4" t="s">
        <v>98</v>
      </c>
      <c r="B26" s="4" t="s">
        <v>97</v>
      </c>
      <c r="C26" s="4" t="s">
        <v>109</v>
      </c>
      <c r="E26" s="4">
        <v>15000</v>
      </c>
      <c r="F26" s="4">
        <v>300</v>
      </c>
      <c r="G26" s="4">
        <v>300</v>
      </c>
      <c r="H26" s="4">
        <v>200</v>
      </c>
    </row>
    <row r="27" spans="1:9" ht="60">
      <c r="A27" s="4" t="s">
        <v>110</v>
      </c>
      <c r="B27" s="4" t="s">
        <v>111</v>
      </c>
      <c r="C27" s="4" t="s">
        <v>112</v>
      </c>
      <c r="E27" s="4">
        <v>20000</v>
      </c>
      <c r="F27" s="4">
        <v>500</v>
      </c>
      <c r="G27" s="4">
        <v>500</v>
      </c>
      <c r="H27" s="4">
        <v>250</v>
      </c>
    </row>
    <row r="28" spans="1:9" ht="45">
      <c r="A28" s="4" t="s">
        <v>113</v>
      </c>
      <c r="B28" s="4" t="s">
        <v>114</v>
      </c>
      <c r="C28" s="4" t="s">
        <v>115</v>
      </c>
      <c r="E28" s="4">
        <v>30000</v>
      </c>
      <c r="F28" s="4">
        <v>600</v>
      </c>
      <c r="G28" s="4">
        <v>600</v>
      </c>
      <c r="H28" s="4">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7"/>
  <sheetViews>
    <sheetView workbookViewId="0">
      <selection activeCell="N15" sqref="N15"/>
    </sheetView>
  </sheetViews>
  <sheetFormatPr defaultRowHeight="15"/>
  <cols>
    <col min="1" max="1" width="18.85546875" style="4" bestFit="1" customWidth="1"/>
    <col min="2" max="2" width="13.28515625" style="4" customWidth="1"/>
    <col min="3" max="3" width="20.140625" style="4" customWidth="1"/>
    <col min="4" max="4" width="15.28515625" style="4" customWidth="1"/>
    <col min="5" max="5" width="18.42578125" style="4" bestFit="1" customWidth="1"/>
    <col min="6" max="7" width="9.140625" style="4"/>
    <col min="8" max="8" width="10.85546875" style="4" customWidth="1"/>
    <col min="9" max="16384" width="9.140625" style="4"/>
  </cols>
  <sheetData>
    <row r="1" spans="1:14">
      <c r="A1" s="3" t="s">
        <v>0</v>
      </c>
      <c r="B1" s="3" t="s">
        <v>1</v>
      </c>
      <c r="C1" s="3" t="s">
        <v>2</v>
      </c>
      <c r="D1" s="3" t="s">
        <v>3</v>
      </c>
      <c r="E1" s="3" t="s">
        <v>4</v>
      </c>
    </row>
    <row r="2" spans="1:14" ht="30">
      <c r="A2" s="4" t="s">
        <v>116</v>
      </c>
      <c r="B2" s="4" t="s">
        <v>117</v>
      </c>
      <c r="C2" s="4" t="s">
        <v>118</v>
      </c>
      <c r="D2" s="4" t="s">
        <v>119</v>
      </c>
      <c r="E2" s="4" t="s">
        <v>120</v>
      </c>
    </row>
    <row r="3" spans="1:14" ht="30">
      <c r="A3" s="4" t="s">
        <v>121</v>
      </c>
      <c r="E3" s="4" t="s">
        <v>122</v>
      </c>
    </row>
    <row r="4" spans="1:14">
      <c r="N4"/>
    </row>
    <row r="5" spans="1:14">
      <c r="N5"/>
    </row>
    <row r="6" spans="1:14">
      <c r="N6"/>
    </row>
    <row r="10" spans="1:14" ht="30">
      <c r="A10" s="3" t="s">
        <v>28</v>
      </c>
      <c r="B10" s="3" t="s">
        <v>29</v>
      </c>
      <c r="C10" s="3" t="s">
        <v>30</v>
      </c>
      <c r="D10" s="3" t="s">
        <v>31</v>
      </c>
      <c r="E10" s="3" t="s">
        <v>32</v>
      </c>
      <c r="F10" s="3" t="s">
        <v>33</v>
      </c>
      <c r="G10" s="3" t="s">
        <v>34</v>
      </c>
      <c r="H10" s="3" t="s">
        <v>35</v>
      </c>
      <c r="I10" s="3" t="s">
        <v>36</v>
      </c>
    </row>
    <row r="11" spans="1:14" ht="30">
      <c r="A11" s="4" t="s">
        <v>121</v>
      </c>
      <c r="B11" s="4" t="s">
        <v>123</v>
      </c>
      <c r="C11" s="4" t="s">
        <v>124</v>
      </c>
      <c r="E11" s="4">
        <v>5000</v>
      </c>
      <c r="F11" s="4">
        <v>50</v>
      </c>
      <c r="G11" s="4">
        <v>50</v>
      </c>
      <c r="H11" s="4">
        <v>50</v>
      </c>
    </row>
    <row r="12" spans="1:14" ht="60">
      <c r="A12" s="4" t="s">
        <v>116</v>
      </c>
      <c r="B12" s="4" t="s">
        <v>125</v>
      </c>
      <c r="C12" s="4" t="s">
        <v>126</v>
      </c>
      <c r="E12" s="4">
        <v>10000</v>
      </c>
      <c r="F12" s="4">
        <v>200</v>
      </c>
      <c r="G12" s="4">
        <v>200</v>
      </c>
      <c r="H12" s="4">
        <v>100</v>
      </c>
    </row>
    <row r="13" spans="1:14" ht="30">
      <c r="A13" s="4" t="s">
        <v>117</v>
      </c>
      <c r="B13" s="4" t="s">
        <v>121</v>
      </c>
      <c r="C13" s="4" t="s">
        <v>105</v>
      </c>
      <c r="E13" s="4">
        <v>15000</v>
      </c>
      <c r="F13" s="4">
        <v>100</v>
      </c>
      <c r="G13" s="4">
        <v>100</v>
      </c>
      <c r="H13" s="4">
        <v>200</v>
      </c>
    </row>
    <row r="14" spans="1:14" ht="60">
      <c r="A14" s="4" t="s">
        <v>118</v>
      </c>
      <c r="B14" s="4" t="s">
        <v>127</v>
      </c>
      <c r="C14" s="4" t="s">
        <v>128</v>
      </c>
      <c r="E14" s="4">
        <v>15000</v>
      </c>
      <c r="F14" s="4">
        <v>200</v>
      </c>
      <c r="G14" s="4">
        <v>200</v>
      </c>
      <c r="H14" s="4">
        <v>200</v>
      </c>
    </row>
    <row r="15" spans="1:14" ht="75">
      <c r="A15" s="4" t="s">
        <v>119</v>
      </c>
      <c r="B15" s="4" t="s">
        <v>129</v>
      </c>
      <c r="C15" s="4" t="s">
        <v>130</v>
      </c>
      <c r="E15" s="4">
        <v>25000</v>
      </c>
      <c r="F15" s="4">
        <v>500</v>
      </c>
      <c r="G15" s="4">
        <v>500</v>
      </c>
      <c r="H15" s="4">
        <v>200</v>
      </c>
    </row>
    <row r="16" spans="1:14" ht="45">
      <c r="A16" s="4" t="s">
        <v>120</v>
      </c>
      <c r="B16" s="4" t="s">
        <v>131</v>
      </c>
      <c r="C16" s="4" t="s">
        <v>132</v>
      </c>
      <c r="E16" s="4">
        <v>10000</v>
      </c>
      <c r="F16" s="4">
        <v>100</v>
      </c>
      <c r="G16" s="4">
        <v>400</v>
      </c>
      <c r="H16" s="4">
        <v>300</v>
      </c>
    </row>
    <row r="17" spans="1:8" ht="45">
      <c r="A17" s="4" t="s">
        <v>122</v>
      </c>
      <c r="B17" s="4" t="s">
        <v>121</v>
      </c>
      <c r="C17" s="4" t="s">
        <v>133</v>
      </c>
      <c r="E17" s="4">
        <v>10000</v>
      </c>
      <c r="F17" s="4">
        <v>100</v>
      </c>
      <c r="G17" s="4">
        <v>200</v>
      </c>
      <c r="H17" s="4">
        <v>300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8"/>
  <sheetViews>
    <sheetView workbookViewId="0">
      <selection activeCell="B15" sqref="B15"/>
    </sheetView>
  </sheetViews>
  <sheetFormatPr defaultRowHeight="15"/>
  <cols>
    <col min="1" max="2" width="20.28515625" style="5" customWidth="1"/>
    <col min="3" max="3" width="42.85546875" style="5" customWidth="1"/>
    <col min="4" max="5" width="20.28515625" style="5" customWidth="1"/>
    <col min="6" max="6" width="5.42578125" style="5" bestFit="1" customWidth="1"/>
    <col min="7" max="7" width="7" style="5" bestFit="1" customWidth="1"/>
    <col min="8" max="8" width="13.85546875" style="5" customWidth="1"/>
    <col min="9" max="9" width="9" style="5" bestFit="1" customWidth="1"/>
    <col min="10" max="17" width="9.140625" style="5"/>
    <col min="18" max="18" width="22.85546875" style="5" bestFit="1" customWidth="1"/>
    <col min="19" max="16384" width="9.140625" style="5"/>
  </cols>
  <sheetData>
    <row r="1" spans="1:18">
      <c r="A1" s="12" t="s">
        <v>0</v>
      </c>
      <c r="B1" s="12" t="s">
        <v>1</v>
      </c>
      <c r="C1" s="12" t="s">
        <v>2</v>
      </c>
      <c r="D1" s="12" t="s">
        <v>3</v>
      </c>
      <c r="E1" s="12" t="s">
        <v>4</v>
      </c>
    </row>
    <row r="2" spans="1:18" ht="30">
      <c r="A2" s="5" t="s">
        <v>134</v>
      </c>
      <c r="B2" s="5" t="s">
        <v>135</v>
      </c>
      <c r="C2" s="5" t="s">
        <v>136</v>
      </c>
      <c r="D2" s="5" t="s">
        <v>137</v>
      </c>
      <c r="E2" s="5" t="s">
        <v>138</v>
      </c>
      <c r="R2" s="13"/>
    </row>
    <row r="3" spans="1:18" ht="30">
      <c r="B3" s="5" t="s">
        <v>139</v>
      </c>
      <c r="C3" s="5" t="s">
        <v>140</v>
      </c>
      <c r="D3" s="5" t="s">
        <v>141</v>
      </c>
      <c r="E3" s="5" t="s">
        <v>142</v>
      </c>
      <c r="R3" s="13"/>
    </row>
    <row r="4" spans="1:18">
      <c r="C4" s="5" t="s">
        <v>143</v>
      </c>
      <c r="R4" s="13"/>
    </row>
    <row r="5" spans="1:18">
      <c r="C5" s="5" t="s">
        <v>144</v>
      </c>
      <c r="R5" s="13"/>
    </row>
    <row r="6" spans="1:18">
      <c r="C6" s="5" t="s">
        <v>145</v>
      </c>
      <c r="D6" s="5" t="s">
        <v>146</v>
      </c>
      <c r="E6" s="5" t="s">
        <v>147</v>
      </c>
      <c r="R6" s="13"/>
    </row>
    <row r="7" spans="1:18">
      <c r="R7" s="13"/>
    </row>
    <row r="8" spans="1:18">
      <c r="R8" s="13"/>
    </row>
    <row r="9" spans="1:18">
      <c r="R9" s="13"/>
    </row>
    <row r="10" spans="1:18">
      <c r="R10" s="13"/>
    </row>
    <row r="11" spans="1:18">
      <c r="R11" s="13"/>
    </row>
    <row r="12" spans="1:18">
      <c r="R12" s="13"/>
    </row>
    <row r="14" spans="1:18" ht="30">
      <c r="A14" s="12" t="s">
        <v>28</v>
      </c>
      <c r="B14" s="12" t="s">
        <v>29</v>
      </c>
      <c r="C14" s="12" t="s">
        <v>30</v>
      </c>
      <c r="D14" s="12" t="s">
        <v>31</v>
      </c>
      <c r="E14" s="12" t="s">
        <v>32</v>
      </c>
      <c r="F14" s="12" t="s">
        <v>33</v>
      </c>
      <c r="G14" s="12" t="s">
        <v>34</v>
      </c>
      <c r="H14" s="12" t="s">
        <v>35</v>
      </c>
      <c r="I14" s="12" t="s">
        <v>36</v>
      </c>
    </row>
    <row r="15" spans="1:18">
      <c r="A15" s="5" t="s">
        <v>134</v>
      </c>
      <c r="B15" s="4" t="s">
        <v>14</v>
      </c>
      <c r="C15" s="5" t="s">
        <v>148</v>
      </c>
      <c r="E15" s="5">
        <v>10000</v>
      </c>
      <c r="F15" s="5">
        <v>100</v>
      </c>
      <c r="G15" s="5">
        <v>100</v>
      </c>
      <c r="H15" s="5">
        <v>100</v>
      </c>
    </row>
    <row r="16" spans="1:18" ht="30">
      <c r="A16" s="5" t="s">
        <v>135</v>
      </c>
      <c r="B16" s="5" t="s">
        <v>134</v>
      </c>
      <c r="C16" s="5" t="s">
        <v>149</v>
      </c>
      <c r="E16" s="5">
        <v>15000</v>
      </c>
      <c r="F16" s="5">
        <v>150</v>
      </c>
      <c r="G16" s="5">
        <v>150</v>
      </c>
      <c r="H16" s="5">
        <v>200</v>
      </c>
    </row>
    <row r="17" spans="1:8" ht="45">
      <c r="A17" s="5" t="s">
        <v>139</v>
      </c>
      <c r="B17" s="5" t="s">
        <v>150</v>
      </c>
      <c r="C17" s="5" t="s">
        <v>151</v>
      </c>
      <c r="E17" s="5">
        <v>30000</v>
      </c>
      <c r="F17" s="5">
        <v>200</v>
      </c>
      <c r="G17" s="5">
        <v>200</v>
      </c>
      <c r="H17" s="5">
        <v>200</v>
      </c>
    </row>
    <row r="18" spans="1:8" ht="30">
      <c r="A18" s="5" t="s">
        <v>136</v>
      </c>
      <c r="B18" s="5" t="s">
        <v>135</v>
      </c>
      <c r="C18" s="5" t="s">
        <v>152</v>
      </c>
      <c r="E18" s="5">
        <v>20000</v>
      </c>
      <c r="F18" s="5">
        <v>300</v>
      </c>
      <c r="G18" s="5">
        <v>300</v>
      </c>
      <c r="H18" s="5">
        <v>100</v>
      </c>
    </row>
    <row r="19" spans="1:8" ht="45">
      <c r="A19" s="5" t="s">
        <v>140</v>
      </c>
      <c r="B19" s="5" t="s">
        <v>153</v>
      </c>
      <c r="C19" s="5" t="s">
        <v>154</v>
      </c>
      <c r="E19" s="5">
        <v>20000</v>
      </c>
      <c r="F19" s="5">
        <v>200</v>
      </c>
      <c r="G19" s="5">
        <v>200</v>
      </c>
      <c r="H19" s="5">
        <v>300</v>
      </c>
    </row>
    <row r="20" spans="1:8" ht="30">
      <c r="A20" s="5" t="s">
        <v>143</v>
      </c>
      <c r="B20" s="5" t="s">
        <v>155</v>
      </c>
      <c r="C20" s="5" t="s">
        <v>156</v>
      </c>
      <c r="E20" s="5">
        <v>50000</v>
      </c>
      <c r="F20" s="5">
        <v>600</v>
      </c>
      <c r="G20" s="5">
        <v>600</v>
      </c>
      <c r="H20" s="5">
        <v>200</v>
      </c>
    </row>
    <row r="21" spans="1:8">
      <c r="A21" s="5" t="s">
        <v>144</v>
      </c>
      <c r="B21" s="5" t="s">
        <v>157</v>
      </c>
      <c r="E21" s="5">
        <v>80000</v>
      </c>
      <c r="F21" s="5">
        <v>500</v>
      </c>
      <c r="G21" s="5">
        <v>500</v>
      </c>
      <c r="H21" s="5">
        <v>200</v>
      </c>
    </row>
    <row r="22" spans="1:8" ht="45">
      <c r="A22" s="5" t="s">
        <v>145</v>
      </c>
      <c r="B22" s="5" t="s">
        <v>158</v>
      </c>
      <c r="C22" s="5" t="s">
        <v>159</v>
      </c>
      <c r="E22" s="5">
        <v>60000</v>
      </c>
      <c r="F22" s="5">
        <v>300</v>
      </c>
      <c r="G22" s="5">
        <v>300</v>
      </c>
      <c r="H22" s="5">
        <v>300</v>
      </c>
    </row>
    <row r="23" spans="1:8" ht="30">
      <c r="A23" s="5" t="s">
        <v>137</v>
      </c>
      <c r="B23" s="5" t="s">
        <v>136</v>
      </c>
      <c r="C23" s="5" t="s">
        <v>160</v>
      </c>
      <c r="E23" s="5">
        <v>25000</v>
      </c>
      <c r="F23" s="5">
        <v>600</v>
      </c>
      <c r="G23" s="5">
        <v>600</v>
      </c>
      <c r="H23" s="5">
        <v>200</v>
      </c>
    </row>
    <row r="24" spans="1:8" ht="60">
      <c r="A24" s="5" t="s">
        <v>141</v>
      </c>
      <c r="C24" s="5" t="s">
        <v>161</v>
      </c>
      <c r="E24" s="5">
        <v>100000</v>
      </c>
      <c r="F24" s="5">
        <v>500</v>
      </c>
      <c r="G24" s="5">
        <v>500</v>
      </c>
      <c r="H24" s="5">
        <v>1000</v>
      </c>
    </row>
    <row r="25" spans="1:8" ht="30">
      <c r="A25" s="5" t="s">
        <v>146</v>
      </c>
      <c r="B25" s="5" t="s">
        <v>162</v>
      </c>
      <c r="C25" s="5" t="s">
        <v>163</v>
      </c>
      <c r="E25" s="5">
        <v>160000</v>
      </c>
      <c r="F25" s="5">
        <v>1000</v>
      </c>
      <c r="G25" s="5">
        <v>1000</v>
      </c>
      <c r="H25" s="5">
        <v>400</v>
      </c>
    </row>
    <row r="26" spans="1:8" ht="30">
      <c r="A26" s="5" t="s">
        <v>138</v>
      </c>
      <c r="B26" s="5" t="s">
        <v>137</v>
      </c>
      <c r="C26" s="5" t="s">
        <v>164</v>
      </c>
      <c r="E26" s="5">
        <v>30000</v>
      </c>
      <c r="F26" s="5">
        <v>300</v>
      </c>
      <c r="G26" s="5">
        <v>300</v>
      </c>
      <c r="H26" s="5">
        <v>100</v>
      </c>
    </row>
    <row r="27" spans="1:8" ht="60">
      <c r="A27" s="5" t="s">
        <v>142</v>
      </c>
      <c r="C27" s="5" t="s">
        <v>165</v>
      </c>
      <c r="E27" s="5">
        <v>500000</v>
      </c>
      <c r="F27" s="5">
        <v>1000</v>
      </c>
      <c r="G27" s="5">
        <v>1000</v>
      </c>
      <c r="H27" s="5">
        <v>2000</v>
      </c>
    </row>
    <row r="28" spans="1:8" ht="30">
      <c r="A28" s="5" t="s">
        <v>147</v>
      </c>
      <c r="B28" s="5" t="s">
        <v>146</v>
      </c>
      <c r="C28" s="5" t="s">
        <v>166</v>
      </c>
      <c r="E28" s="5">
        <v>50000</v>
      </c>
      <c r="F28" s="5">
        <v>100</v>
      </c>
      <c r="G28" s="5">
        <v>100</v>
      </c>
      <c r="H28" s="5">
        <v>100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3"/>
  <sheetViews>
    <sheetView workbookViewId="0">
      <selection activeCell="A19" sqref="A19"/>
    </sheetView>
  </sheetViews>
  <sheetFormatPr defaultRowHeight="15"/>
  <cols>
    <col min="1" max="1" width="17.42578125" style="4" bestFit="1" customWidth="1"/>
    <col min="2" max="2" width="19.7109375" style="4" bestFit="1" customWidth="1"/>
    <col min="3" max="3" width="27.28515625" style="4" customWidth="1"/>
    <col min="4" max="4" width="16.85546875" style="4" bestFit="1" customWidth="1"/>
    <col min="5" max="5" width="18.7109375" style="4" bestFit="1" customWidth="1"/>
    <col min="6" max="16384" width="9.140625" style="4"/>
  </cols>
  <sheetData>
    <row r="1" spans="1:14">
      <c r="A1" s="3" t="s">
        <v>0</v>
      </c>
      <c r="B1" s="3" t="s">
        <v>1</v>
      </c>
      <c r="C1" s="3" t="s">
        <v>2</v>
      </c>
      <c r="D1" s="3" t="s">
        <v>3</v>
      </c>
      <c r="E1" s="3" t="s">
        <v>4</v>
      </c>
    </row>
    <row r="2" spans="1:14" ht="30">
      <c r="A2" s="1" t="s">
        <v>167</v>
      </c>
      <c r="B2" s="1" t="s">
        <v>168</v>
      </c>
      <c r="C2" s="1" t="s">
        <v>169</v>
      </c>
      <c r="D2" s="1" t="s">
        <v>170</v>
      </c>
      <c r="E2" s="1" t="s">
        <v>171</v>
      </c>
      <c r="N2" s="1"/>
    </row>
    <row r="3" spans="1:14" ht="30">
      <c r="A3" s="1" t="s">
        <v>172</v>
      </c>
      <c r="B3" s="1" t="s">
        <v>173</v>
      </c>
      <c r="C3" s="1" t="s">
        <v>174</v>
      </c>
      <c r="D3" s="1" t="s">
        <v>175</v>
      </c>
      <c r="E3" s="1" t="s">
        <v>176</v>
      </c>
      <c r="N3" s="1"/>
    </row>
    <row r="4" spans="1:14" ht="30">
      <c r="A4" s="4" t="s">
        <v>177</v>
      </c>
      <c r="B4" s="4" t="s">
        <v>178</v>
      </c>
      <c r="C4" s="4" t="s">
        <v>179</v>
      </c>
      <c r="D4" s="4" t="s">
        <v>180</v>
      </c>
      <c r="E4" s="1"/>
      <c r="N4" s="1"/>
    </row>
    <row r="5" spans="1:14">
      <c r="N5" s="1"/>
    </row>
    <row r="9" spans="1:14" ht="30">
      <c r="A9" s="3" t="s">
        <v>28</v>
      </c>
      <c r="B9" s="3" t="s">
        <v>29</v>
      </c>
      <c r="C9" s="3" t="s">
        <v>30</v>
      </c>
      <c r="D9" s="3" t="s">
        <v>31</v>
      </c>
      <c r="E9" s="3" t="s">
        <v>32</v>
      </c>
      <c r="F9" s="3" t="s">
        <v>33</v>
      </c>
      <c r="G9" s="3" t="s">
        <v>34</v>
      </c>
      <c r="H9" s="3" t="s">
        <v>35</v>
      </c>
      <c r="I9" s="3" t="s">
        <v>36</v>
      </c>
    </row>
    <row r="10" spans="1:14" ht="30">
      <c r="A10" s="1" t="s">
        <v>167</v>
      </c>
      <c r="B10" s="4" t="s">
        <v>10</v>
      </c>
      <c r="C10" s="4" t="s">
        <v>181</v>
      </c>
      <c r="E10" s="4">
        <v>5000</v>
      </c>
      <c r="F10" s="4">
        <v>100</v>
      </c>
      <c r="G10" s="4">
        <v>100</v>
      </c>
      <c r="H10" s="4">
        <v>100</v>
      </c>
    </row>
    <row r="11" spans="1:14" ht="30">
      <c r="A11" s="1" t="s">
        <v>172</v>
      </c>
      <c r="B11" s="4" t="s">
        <v>10</v>
      </c>
      <c r="C11" s="4" t="s">
        <v>182</v>
      </c>
      <c r="E11" s="4">
        <v>15000</v>
      </c>
      <c r="F11" s="4">
        <v>500</v>
      </c>
      <c r="G11" s="4">
        <v>100</v>
      </c>
      <c r="H11" s="4">
        <v>200</v>
      </c>
    </row>
    <row r="12" spans="1:14" ht="45">
      <c r="A12" s="1" t="s">
        <v>168</v>
      </c>
      <c r="B12" s="4" t="s">
        <v>167</v>
      </c>
      <c r="C12" s="4" t="s">
        <v>183</v>
      </c>
      <c r="E12" s="4">
        <v>10000</v>
      </c>
      <c r="F12" s="4">
        <v>100</v>
      </c>
      <c r="G12" s="4">
        <v>100</v>
      </c>
      <c r="H12" s="4">
        <v>100</v>
      </c>
    </row>
    <row r="13" spans="1:14" ht="30">
      <c r="A13" s="1" t="s">
        <v>173</v>
      </c>
      <c r="B13" s="1" t="s">
        <v>172</v>
      </c>
      <c r="C13" s="4" t="s">
        <v>184</v>
      </c>
      <c r="E13" s="4">
        <v>20000</v>
      </c>
      <c r="F13" s="4">
        <v>400</v>
      </c>
      <c r="G13" s="4">
        <v>200</v>
      </c>
      <c r="H13" s="4">
        <v>200</v>
      </c>
    </row>
    <row r="14" spans="1:14" ht="45">
      <c r="A14" s="1" t="s">
        <v>169</v>
      </c>
      <c r="B14" s="4" t="s">
        <v>168</v>
      </c>
      <c r="C14" s="4" t="s">
        <v>185</v>
      </c>
      <c r="E14" s="4">
        <v>15000</v>
      </c>
      <c r="F14" s="4">
        <v>200</v>
      </c>
      <c r="G14" s="4">
        <v>200</v>
      </c>
      <c r="H14" s="4">
        <v>200</v>
      </c>
    </row>
    <row r="15" spans="1:14" ht="30">
      <c r="A15" s="1" t="s">
        <v>174</v>
      </c>
      <c r="B15" s="1" t="s">
        <v>173</v>
      </c>
      <c r="C15" s="4" t="s">
        <v>186</v>
      </c>
      <c r="E15" s="4">
        <v>25000</v>
      </c>
      <c r="F15" s="4">
        <v>300</v>
      </c>
      <c r="G15" s="4">
        <v>300</v>
      </c>
      <c r="H15" s="4">
        <v>200</v>
      </c>
    </row>
    <row r="16" spans="1:14" ht="30">
      <c r="A16" s="1" t="s">
        <v>170</v>
      </c>
      <c r="B16" s="1" t="s">
        <v>169</v>
      </c>
      <c r="C16" s="4" t="s">
        <v>187</v>
      </c>
      <c r="E16" s="4">
        <v>30000</v>
      </c>
      <c r="F16" s="4">
        <v>300</v>
      </c>
      <c r="G16" s="4">
        <v>300</v>
      </c>
      <c r="H16" s="4">
        <v>300</v>
      </c>
    </row>
    <row r="17" spans="1:8" ht="45">
      <c r="A17" s="1" t="s">
        <v>175</v>
      </c>
      <c r="B17" s="1" t="s">
        <v>174</v>
      </c>
      <c r="C17" s="4" t="s">
        <v>188</v>
      </c>
      <c r="E17" s="4">
        <v>30000</v>
      </c>
      <c r="F17" s="4">
        <v>300</v>
      </c>
      <c r="G17" s="4">
        <v>300</v>
      </c>
      <c r="H17" s="4">
        <v>200</v>
      </c>
    </row>
    <row r="18" spans="1:8" ht="30">
      <c r="A18" s="1" t="s">
        <v>171</v>
      </c>
      <c r="B18" s="1" t="s">
        <v>170</v>
      </c>
      <c r="C18" s="4" t="s">
        <v>189</v>
      </c>
      <c r="E18" s="4">
        <v>50000</v>
      </c>
      <c r="F18" s="4">
        <v>500</v>
      </c>
      <c r="G18" s="4">
        <v>500</v>
      </c>
      <c r="H18" s="4">
        <v>200</v>
      </c>
    </row>
    <row r="19" spans="1:8" ht="45">
      <c r="A19" s="4" t="s">
        <v>180</v>
      </c>
      <c r="B19" s="1" t="s">
        <v>190</v>
      </c>
      <c r="C19" s="4" t="s">
        <v>191</v>
      </c>
      <c r="E19" s="4">
        <v>30000</v>
      </c>
      <c r="F19" s="4">
        <v>400</v>
      </c>
      <c r="G19" s="4">
        <v>400</v>
      </c>
      <c r="H19" s="4">
        <v>300</v>
      </c>
    </row>
    <row r="20" spans="1:8" ht="45">
      <c r="A20" s="1" t="s">
        <v>176</v>
      </c>
      <c r="B20" s="1" t="s">
        <v>175</v>
      </c>
      <c r="C20" s="4" t="s">
        <v>192</v>
      </c>
      <c r="E20" s="4">
        <v>35000</v>
      </c>
      <c r="F20" s="4">
        <v>500</v>
      </c>
      <c r="G20" s="4">
        <v>500</v>
      </c>
      <c r="H20" s="4">
        <v>200</v>
      </c>
    </row>
    <row r="21" spans="1:8" ht="30">
      <c r="A21" s="4" t="s">
        <v>177</v>
      </c>
      <c r="B21" s="4" t="s">
        <v>167</v>
      </c>
      <c r="C21" s="4" t="s">
        <v>193</v>
      </c>
      <c r="E21" s="4">
        <v>20000</v>
      </c>
      <c r="F21" s="4">
        <v>100</v>
      </c>
      <c r="G21" s="4">
        <v>100</v>
      </c>
      <c r="H21" s="4">
        <v>100</v>
      </c>
    </row>
    <row r="22" spans="1:8" ht="45">
      <c r="A22" s="4" t="s">
        <v>178</v>
      </c>
      <c r="B22" s="4" t="s">
        <v>177</v>
      </c>
      <c r="C22" s="4" t="s">
        <v>194</v>
      </c>
      <c r="E22" s="4">
        <v>30000</v>
      </c>
      <c r="F22" s="4">
        <v>200</v>
      </c>
      <c r="G22" s="4">
        <v>200</v>
      </c>
      <c r="H22" s="4">
        <v>200</v>
      </c>
    </row>
    <row r="23" spans="1:8" ht="30">
      <c r="A23" s="4" t="s">
        <v>179</v>
      </c>
      <c r="B23" s="4" t="s">
        <v>178</v>
      </c>
      <c r="C23" s="4" t="s">
        <v>195</v>
      </c>
      <c r="E23" s="4">
        <v>40000</v>
      </c>
      <c r="F23" s="4">
        <v>300</v>
      </c>
      <c r="G23" s="4">
        <v>300</v>
      </c>
      <c r="H23" s="4">
        <v>300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9"/>
  <sheetViews>
    <sheetView workbookViewId="0">
      <selection activeCell="B22" sqref="B22"/>
    </sheetView>
  </sheetViews>
  <sheetFormatPr defaultRowHeight="15"/>
  <cols>
    <col min="1" max="1" width="14.7109375" style="4" customWidth="1"/>
    <col min="2" max="2" width="19.140625" style="4" customWidth="1"/>
    <col min="3" max="3" width="20" style="4" customWidth="1"/>
    <col min="4" max="4" width="21.140625" style="4" customWidth="1"/>
    <col min="5" max="5" width="19.140625" style="4" customWidth="1"/>
    <col min="6" max="16384" width="9.140625" style="4"/>
  </cols>
  <sheetData>
    <row r="1" spans="1:11">
      <c r="A1" s="3" t="s">
        <v>0</v>
      </c>
      <c r="B1" s="3" t="s">
        <v>1</v>
      </c>
      <c r="C1" s="3" t="s">
        <v>2</v>
      </c>
      <c r="D1" s="3" t="s">
        <v>3</v>
      </c>
      <c r="E1" s="3" t="s">
        <v>4</v>
      </c>
    </row>
    <row r="2" spans="1:11" ht="30">
      <c r="A2" s="1" t="s">
        <v>196</v>
      </c>
      <c r="B2" s="1" t="s">
        <v>197</v>
      </c>
      <c r="C2" s="1" t="s">
        <v>198</v>
      </c>
      <c r="D2" s="1" t="s">
        <v>199</v>
      </c>
      <c r="E2" s="1" t="s">
        <v>200</v>
      </c>
      <c r="K2" s="1"/>
    </row>
    <row r="3" spans="1:11">
      <c r="C3" s="1" t="s">
        <v>201</v>
      </c>
      <c r="D3" s="1" t="s">
        <v>202</v>
      </c>
      <c r="E3" s="4" t="s">
        <v>203</v>
      </c>
      <c r="K3" s="1"/>
    </row>
    <row r="4" spans="1:11">
      <c r="D4" s="1" t="s">
        <v>204</v>
      </c>
      <c r="K4" s="1"/>
    </row>
    <row r="5" spans="1:11">
      <c r="K5" s="1"/>
    </row>
    <row r="6" spans="1:11">
      <c r="K6" s="1"/>
    </row>
    <row r="7" spans="1:11">
      <c r="K7" s="1"/>
    </row>
    <row r="8" spans="1:11">
      <c r="K8" s="1"/>
    </row>
    <row r="9" spans="1:11">
      <c r="K9" s="1"/>
    </row>
    <row r="10" spans="1:11">
      <c r="K10" s="1"/>
    </row>
    <row r="20" spans="1:9" ht="30">
      <c r="A20" s="3" t="s">
        <v>28</v>
      </c>
      <c r="B20" s="3" t="s">
        <v>29</v>
      </c>
      <c r="C20" s="3" t="s">
        <v>30</v>
      </c>
      <c r="D20" s="3" t="s">
        <v>31</v>
      </c>
      <c r="E20" s="3" t="s">
        <v>32</v>
      </c>
      <c r="F20" s="3" t="s">
        <v>33</v>
      </c>
      <c r="G20" s="3" t="s">
        <v>34</v>
      </c>
      <c r="H20" s="3" t="s">
        <v>35</v>
      </c>
      <c r="I20" s="3" t="s">
        <v>36</v>
      </c>
    </row>
    <row r="21" spans="1:9" ht="60.75">
      <c r="A21" s="1" t="s">
        <v>196</v>
      </c>
      <c r="B21" s="4" t="s">
        <v>25</v>
      </c>
      <c r="C21" s="4" t="s">
        <v>205</v>
      </c>
      <c r="E21" s="4">
        <v>10000</v>
      </c>
      <c r="F21" s="4">
        <v>100</v>
      </c>
      <c r="G21" s="4">
        <v>100</v>
      </c>
      <c r="H21" s="4">
        <v>200</v>
      </c>
    </row>
    <row r="22" spans="1:9" ht="60">
      <c r="A22" s="1" t="s">
        <v>197</v>
      </c>
      <c r="B22" s="1" t="s">
        <v>196</v>
      </c>
      <c r="C22" s="4" t="s">
        <v>206</v>
      </c>
      <c r="E22" s="4">
        <v>15000</v>
      </c>
      <c r="F22" s="4">
        <v>100</v>
      </c>
      <c r="G22" s="4">
        <v>100</v>
      </c>
      <c r="H22" s="4">
        <v>250</v>
      </c>
    </row>
    <row r="23" spans="1:9" ht="30">
      <c r="A23" s="1" t="s">
        <v>198</v>
      </c>
      <c r="B23" s="1" t="s">
        <v>197</v>
      </c>
      <c r="C23" s="4" t="s">
        <v>207</v>
      </c>
      <c r="E23" s="4">
        <v>10000</v>
      </c>
      <c r="F23" s="4">
        <v>300</v>
      </c>
      <c r="G23" s="4">
        <v>300</v>
      </c>
      <c r="H23" s="4">
        <v>100</v>
      </c>
    </row>
    <row r="24" spans="1:9" ht="45">
      <c r="A24" s="1" t="s">
        <v>201</v>
      </c>
      <c r="B24" s="1" t="s">
        <v>197</v>
      </c>
      <c r="C24" s="4" t="s">
        <v>208</v>
      </c>
      <c r="E24" s="4">
        <v>20000</v>
      </c>
      <c r="F24" s="4">
        <v>100</v>
      </c>
      <c r="G24" s="4">
        <v>100</v>
      </c>
      <c r="H24" s="4">
        <v>300</v>
      </c>
    </row>
    <row r="25" spans="1:9" ht="60">
      <c r="A25" s="1" t="s">
        <v>199</v>
      </c>
      <c r="B25" s="1" t="s">
        <v>198</v>
      </c>
      <c r="C25" s="4" t="s">
        <v>209</v>
      </c>
      <c r="E25" s="4">
        <v>25000</v>
      </c>
      <c r="F25" s="4">
        <v>100</v>
      </c>
      <c r="G25" s="4">
        <v>100</v>
      </c>
      <c r="H25" s="4">
        <v>350</v>
      </c>
    </row>
    <row r="26" spans="1:9" ht="30">
      <c r="A26" s="1" t="s">
        <v>202</v>
      </c>
      <c r="B26" s="1" t="s">
        <v>201</v>
      </c>
      <c r="C26" s="4" t="s">
        <v>210</v>
      </c>
      <c r="E26" s="4">
        <v>15000</v>
      </c>
      <c r="F26" s="4">
        <v>200</v>
      </c>
      <c r="G26" s="4">
        <v>100</v>
      </c>
      <c r="H26" s="4">
        <v>100</v>
      </c>
    </row>
    <row r="27" spans="1:9" ht="60">
      <c r="A27" s="1" t="s">
        <v>204</v>
      </c>
      <c r="B27" s="1" t="s">
        <v>201</v>
      </c>
      <c r="C27" s="4" t="s">
        <v>211</v>
      </c>
      <c r="E27" s="4">
        <v>20000</v>
      </c>
      <c r="F27" s="4">
        <v>300</v>
      </c>
      <c r="G27" s="4">
        <v>100</v>
      </c>
      <c r="H27" s="4">
        <v>200</v>
      </c>
    </row>
    <row r="28" spans="1:9" ht="45">
      <c r="A28" s="1" t="s">
        <v>200</v>
      </c>
      <c r="B28" s="1" t="s">
        <v>199</v>
      </c>
      <c r="C28" s="4" t="s">
        <v>212</v>
      </c>
      <c r="E28" s="4">
        <v>30000</v>
      </c>
      <c r="F28" s="4">
        <v>100</v>
      </c>
      <c r="G28" s="4">
        <v>100</v>
      </c>
      <c r="H28" s="4">
        <v>400</v>
      </c>
    </row>
    <row r="29" spans="1:9" ht="30">
      <c r="A29" s="4" t="s">
        <v>203</v>
      </c>
      <c r="B29" s="1" t="s">
        <v>202</v>
      </c>
      <c r="C29" s="4" t="s">
        <v>213</v>
      </c>
      <c r="E29" s="4">
        <v>30000</v>
      </c>
      <c r="F29" s="4">
        <v>300</v>
      </c>
      <c r="G29" s="4">
        <v>300</v>
      </c>
      <c r="H29" s="4">
        <v>300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7"/>
  <sheetViews>
    <sheetView topLeftCell="A11" workbookViewId="0">
      <selection activeCell="D14" sqref="D14"/>
    </sheetView>
  </sheetViews>
  <sheetFormatPr defaultRowHeight="15"/>
  <cols>
    <col min="1" max="1" width="13.7109375" style="4" customWidth="1"/>
    <col min="2" max="2" width="15.42578125" style="4" customWidth="1"/>
    <col min="3" max="3" width="20.28515625" style="4" customWidth="1"/>
    <col min="4" max="5" width="16.28515625" style="4" customWidth="1"/>
    <col min="6" max="16384" width="9.140625" style="4"/>
  </cols>
  <sheetData>
    <row r="1" spans="1:14">
      <c r="A1" s="3" t="s">
        <v>0</v>
      </c>
      <c r="B1" s="3" t="s">
        <v>1</v>
      </c>
      <c r="C1" s="3" t="s">
        <v>2</v>
      </c>
      <c r="D1" s="3" t="s">
        <v>3</v>
      </c>
      <c r="E1" s="3" t="s">
        <v>4</v>
      </c>
    </row>
    <row r="2" spans="1:14" ht="30">
      <c r="A2" s="1" t="s">
        <v>214</v>
      </c>
      <c r="B2" s="1" t="s">
        <v>215</v>
      </c>
      <c r="C2" s="1" t="s">
        <v>216</v>
      </c>
      <c r="D2" s="1" t="s">
        <v>217</v>
      </c>
      <c r="E2" s="1" t="s">
        <v>218</v>
      </c>
    </row>
    <row r="3" spans="1:14" ht="45">
      <c r="A3" s="1" t="s">
        <v>219</v>
      </c>
      <c r="E3" s="4" t="s">
        <v>220</v>
      </c>
      <c r="N3" s="1"/>
    </row>
    <row r="4" spans="1:14">
      <c r="N4" s="1"/>
    </row>
    <row r="10" spans="1:14" ht="30">
      <c r="A10" s="3" t="s">
        <v>28</v>
      </c>
      <c r="B10" s="3" t="s">
        <v>29</v>
      </c>
      <c r="C10" s="3" t="s">
        <v>30</v>
      </c>
      <c r="D10" s="3" t="s">
        <v>31</v>
      </c>
      <c r="E10" s="3" t="s">
        <v>32</v>
      </c>
      <c r="F10" s="3" t="s">
        <v>33</v>
      </c>
      <c r="G10" s="3" t="s">
        <v>34</v>
      </c>
      <c r="H10" s="3" t="s">
        <v>35</v>
      </c>
      <c r="I10" s="3" t="s">
        <v>36</v>
      </c>
    </row>
    <row r="11" spans="1:14" ht="45">
      <c r="A11" s="1" t="s">
        <v>214</v>
      </c>
      <c r="B11" s="4" t="s">
        <v>17</v>
      </c>
      <c r="C11" s="4" t="s">
        <v>221</v>
      </c>
      <c r="E11" s="4">
        <v>10000</v>
      </c>
      <c r="F11" s="4">
        <v>300</v>
      </c>
      <c r="G11" s="4">
        <v>100</v>
      </c>
      <c r="H11" s="4">
        <v>100</v>
      </c>
    </row>
    <row r="12" spans="1:14" ht="45">
      <c r="A12" s="1" t="s">
        <v>219</v>
      </c>
      <c r="B12" s="4" t="s">
        <v>17</v>
      </c>
      <c r="C12" s="4" t="s">
        <v>222</v>
      </c>
      <c r="E12" s="4">
        <v>20000</v>
      </c>
      <c r="F12" s="4">
        <v>500</v>
      </c>
      <c r="G12" s="4">
        <v>500</v>
      </c>
      <c r="H12" s="4">
        <v>300</v>
      </c>
    </row>
    <row r="13" spans="1:14" ht="45">
      <c r="A13" s="1" t="s">
        <v>215</v>
      </c>
      <c r="B13" s="1" t="s">
        <v>223</v>
      </c>
      <c r="C13" s="4" t="s">
        <v>224</v>
      </c>
      <c r="E13" s="4">
        <v>15000</v>
      </c>
      <c r="F13" s="4">
        <v>250</v>
      </c>
      <c r="G13" s="4">
        <v>250</v>
      </c>
      <c r="H13" s="4">
        <v>150</v>
      </c>
    </row>
    <row r="14" spans="1:14" ht="90">
      <c r="A14" s="1" t="s">
        <v>216</v>
      </c>
      <c r="B14" s="1" t="s">
        <v>215</v>
      </c>
      <c r="C14" s="4" t="s">
        <v>225</v>
      </c>
      <c r="E14" s="4">
        <v>10000</v>
      </c>
      <c r="F14" s="4">
        <v>100</v>
      </c>
      <c r="G14" s="4">
        <v>100</v>
      </c>
      <c r="H14" s="4">
        <v>100</v>
      </c>
    </row>
    <row r="15" spans="1:14" ht="60">
      <c r="A15" s="1" t="s">
        <v>217</v>
      </c>
      <c r="B15" s="4" t="s">
        <v>226</v>
      </c>
      <c r="C15" s="4" t="s">
        <v>227</v>
      </c>
      <c r="E15" s="4">
        <v>15000</v>
      </c>
      <c r="F15" s="4">
        <v>200</v>
      </c>
      <c r="G15" s="4">
        <v>200</v>
      </c>
      <c r="H15" s="4">
        <v>200</v>
      </c>
    </row>
    <row r="16" spans="1:14" ht="45">
      <c r="A16" s="1" t="s">
        <v>218</v>
      </c>
      <c r="B16" s="1" t="s">
        <v>219</v>
      </c>
      <c r="C16" s="4" t="s">
        <v>228</v>
      </c>
      <c r="E16" s="4">
        <v>30000</v>
      </c>
      <c r="F16" s="4">
        <v>500</v>
      </c>
      <c r="G16" s="4">
        <v>500</v>
      </c>
      <c r="H16" s="4">
        <v>500</v>
      </c>
    </row>
    <row r="17" spans="1:8" ht="45">
      <c r="A17" s="4" t="s">
        <v>220</v>
      </c>
      <c r="B17" s="1" t="s">
        <v>218</v>
      </c>
      <c r="C17" s="4" t="s">
        <v>229</v>
      </c>
      <c r="E17" s="4">
        <v>25000</v>
      </c>
      <c r="F17" s="4">
        <v>300</v>
      </c>
      <c r="G17" s="4">
        <v>300</v>
      </c>
      <c r="H17" s="4">
        <v>300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0"/>
  <sheetViews>
    <sheetView topLeftCell="A7" workbookViewId="0">
      <selection activeCell="H31" sqref="H31"/>
    </sheetView>
  </sheetViews>
  <sheetFormatPr defaultRowHeight="15"/>
  <cols>
    <col min="1" max="1" width="20" style="4" customWidth="1"/>
    <col min="2" max="2" width="14" style="4" customWidth="1"/>
    <col min="3" max="3" width="25" style="4" customWidth="1"/>
    <col min="4" max="4" width="15.5703125" style="4" customWidth="1"/>
    <col min="5" max="5" width="14.42578125" style="4" customWidth="1"/>
    <col min="6" max="7" width="9.140625" style="4"/>
    <col min="8" max="8" width="11.28515625" style="4" customWidth="1"/>
    <col min="9" max="16384" width="9.140625" style="4"/>
  </cols>
  <sheetData>
    <row r="1" spans="1:5">
      <c r="A1" s="3" t="s">
        <v>0</v>
      </c>
      <c r="B1" s="3" t="s">
        <v>1</v>
      </c>
      <c r="C1" s="3" t="s">
        <v>2</v>
      </c>
      <c r="D1" s="3" t="s">
        <v>3</v>
      </c>
      <c r="E1" s="3" t="s">
        <v>4</v>
      </c>
    </row>
    <row r="2" spans="1:5" ht="45">
      <c r="A2" s="4" t="s">
        <v>230</v>
      </c>
      <c r="B2" s="4" t="s">
        <v>231</v>
      </c>
      <c r="C2" s="4" t="s">
        <v>232</v>
      </c>
      <c r="D2" s="4" t="s">
        <v>233</v>
      </c>
      <c r="E2" s="4" t="s">
        <v>234</v>
      </c>
    </row>
    <row r="3" spans="1:5" ht="30">
      <c r="C3" s="4" t="s">
        <v>235</v>
      </c>
      <c r="D3" s="4" t="s">
        <v>236</v>
      </c>
      <c r="E3" s="4" t="s">
        <v>237</v>
      </c>
    </row>
    <row r="4" spans="1:5" ht="30">
      <c r="D4" s="4" t="s">
        <v>238</v>
      </c>
      <c r="E4" s="4" t="s">
        <v>239</v>
      </c>
    </row>
    <row r="20" spans="1:9" ht="30">
      <c r="A20" s="3" t="s">
        <v>28</v>
      </c>
      <c r="B20" s="3" t="s">
        <v>29</v>
      </c>
      <c r="C20" s="3" t="s">
        <v>30</v>
      </c>
      <c r="D20" s="3" t="s">
        <v>31</v>
      </c>
      <c r="E20" s="3" t="s">
        <v>32</v>
      </c>
      <c r="F20" s="3" t="s">
        <v>33</v>
      </c>
      <c r="G20" s="3" t="s">
        <v>34</v>
      </c>
      <c r="H20" s="3" t="s">
        <v>35</v>
      </c>
      <c r="I20" s="3" t="s">
        <v>36</v>
      </c>
    </row>
    <row r="21" spans="1:9" ht="60">
      <c r="A21" s="4" t="s">
        <v>240</v>
      </c>
      <c r="B21" s="4" t="s">
        <v>26</v>
      </c>
      <c r="C21" s="4" t="s">
        <v>241</v>
      </c>
      <c r="E21" s="4">
        <v>15000</v>
      </c>
      <c r="F21" s="4">
        <v>200</v>
      </c>
      <c r="G21" s="4">
        <v>200</v>
      </c>
      <c r="H21" s="4">
        <v>200</v>
      </c>
    </row>
    <row r="22" spans="1:9" ht="60">
      <c r="A22" s="4" t="s">
        <v>242</v>
      </c>
      <c r="B22" s="4" t="s">
        <v>240</v>
      </c>
      <c r="C22" s="4" t="s">
        <v>243</v>
      </c>
      <c r="E22" s="4">
        <v>20000</v>
      </c>
      <c r="F22" s="4">
        <v>300</v>
      </c>
      <c r="G22" s="4">
        <v>300</v>
      </c>
      <c r="H22" s="4">
        <v>300</v>
      </c>
    </row>
    <row r="23" spans="1:9" ht="60">
      <c r="A23" s="4" t="s">
        <v>244</v>
      </c>
      <c r="B23" s="4" t="s">
        <v>242</v>
      </c>
      <c r="C23" s="4" t="s">
        <v>245</v>
      </c>
      <c r="E23" s="4">
        <v>35000</v>
      </c>
      <c r="F23" s="4">
        <v>400</v>
      </c>
      <c r="G23" s="4">
        <v>400</v>
      </c>
      <c r="H23" s="4">
        <v>400</v>
      </c>
    </row>
    <row r="24" spans="1:9" ht="45">
      <c r="A24" s="4" t="s">
        <v>246</v>
      </c>
      <c r="C24" s="4" t="s">
        <v>247</v>
      </c>
      <c r="E24" s="4">
        <v>35000</v>
      </c>
      <c r="F24" s="4">
        <v>300</v>
      </c>
      <c r="G24" s="4">
        <v>300</v>
      </c>
      <c r="H24" s="4">
        <v>300</v>
      </c>
    </row>
    <row r="25" spans="1:9" ht="90">
      <c r="A25" s="4" t="s">
        <v>233</v>
      </c>
      <c r="C25" s="4" t="s">
        <v>248</v>
      </c>
      <c r="E25" s="4">
        <v>25000</v>
      </c>
      <c r="F25" s="4">
        <v>200</v>
      </c>
      <c r="G25" s="4">
        <v>400</v>
      </c>
      <c r="H25" s="4">
        <v>200</v>
      </c>
    </row>
    <row r="26" spans="1:9" ht="45">
      <c r="A26" s="4" t="s">
        <v>236</v>
      </c>
      <c r="C26" s="4" t="s">
        <v>249</v>
      </c>
      <c r="E26" s="4">
        <v>25000</v>
      </c>
      <c r="F26" s="4">
        <v>200</v>
      </c>
      <c r="G26" s="4">
        <v>200</v>
      </c>
      <c r="H26" s="4">
        <v>200</v>
      </c>
    </row>
    <row r="27" spans="1:9" ht="45">
      <c r="A27" s="4" t="s">
        <v>238</v>
      </c>
      <c r="B27" s="4" t="s">
        <v>246</v>
      </c>
      <c r="C27" s="4" t="s">
        <v>250</v>
      </c>
      <c r="E27" s="4">
        <v>50000</v>
      </c>
      <c r="F27" s="4">
        <v>400</v>
      </c>
      <c r="G27" s="4">
        <v>400</v>
      </c>
      <c r="H27" s="4">
        <v>400</v>
      </c>
    </row>
    <row r="28" spans="1:9" ht="60">
      <c r="A28" s="4" t="s">
        <v>234</v>
      </c>
      <c r="C28" s="4" t="s">
        <v>251</v>
      </c>
      <c r="E28" s="4">
        <v>50000</v>
      </c>
      <c r="F28" s="4">
        <v>200</v>
      </c>
      <c r="G28" s="4">
        <v>200</v>
      </c>
      <c r="H28" s="4">
        <v>200</v>
      </c>
    </row>
    <row r="29" spans="1:9" ht="45">
      <c r="A29" s="4" t="s">
        <v>237</v>
      </c>
      <c r="C29" s="4" t="s">
        <v>252</v>
      </c>
      <c r="E29" s="4">
        <v>50000</v>
      </c>
      <c r="F29" s="4">
        <v>200</v>
      </c>
      <c r="G29" s="4">
        <v>200</v>
      </c>
      <c r="H29" s="4">
        <v>200</v>
      </c>
    </row>
    <row r="30" spans="1:9" ht="45">
      <c r="A30" s="4" t="s">
        <v>239</v>
      </c>
      <c r="B30" s="4" t="s">
        <v>246</v>
      </c>
      <c r="C30" s="4" t="s">
        <v>253</v>
      </c>
      <c r="E30" s="4">
        <v>100000</v>
      </c>
      <c r="F30" s="4">
        <v>600</v>
      </c>
      <c r="G30" s="4">
        <v>600</v>
      </c>
      <c r="H30" s="4">
        <v>600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3"/>
  <sheetViews>
    <sheetView topLeftCell="A19" workbookViewId="0">
      <selection activeCell="C21" sqref="C21"/>
    </sheetView>
  </sheetViews>
  <sheetFormatPr defaultRowHeight="15"/>
  <cols>
    <col min="1" max="1" width="16" style="4" bestFit="1" customWidth="1"/>
    <col min="2" max="2" width="15.5703125" style="4" customWidth="1"/>
    <col min="3" max="3" width="15.85546875" style="4" customWidth="1"/>
    <col min="4" max="4" width="16.42578125" style="4" customWidth="1"/>
    <col min="5" max="5" width="13.42578125" style="4" customWidth="1"/>
    <col min="6" max="15" width="9.140625" style="4"/>
    <col min="16" max="16" width="11.28515625" style="4" customWidth="1"/>
    <col min="17" max="16384" width="9.140625" style="4"/>
  </cols>
  <sheetData>
    <row r="1" spans="1:13">
      <c r="A1" s="3" t="s">
        <v>0</v>
      </c>
      <c r="B1" s="3" t="s">
        <v>1</v>
      </c>
      <c r="C1" s="3" t="s">
        <v>2</v>
      </c>
      <c r="D1" s="3" t="s">
        <v>3</v>
      </c>
      <c r="E1" s="3" t="s">
        <v>4</v>
      </c>
    </row>
    <row r="2" spans="1:13" ht="45">
      <c r="A2" s="1" t="s">
        <v>254</v>
      </c>
      <c r="B2" s="4" t="s">
        <v>255</v>
      </c>
      <c r="C2" s="4" t="s">
        <v>256</v>
      </c>
      <c r="D2" s="4" t="s">
        <v>257</v>
      </c>
      <c r="E2" s="4" t="s">
        <v>258</v>
      </c>
      <c r="M2" s="1"/>
    </row>
    <row r="3" spans="1:13" ht="60">
      <c r="A3" s="1" t="s">
        <v>259</v>
      </c>
      <c r="B3" s="4" t="s">
        <v>260</v>
      </c>
      <c r="C3" s="4" t="s">
        <v>261</v>
      </c>
      <c r="D3" s="4" t="s">
        <v>262</v>
      </c>
      <c r="E3" s="4" t="s">
        <v>263</v>
      </c>
      <c r="M3" s="1"/>
    </row>
    <row r="4" spans="1:13" ht="45">
      <c r="A4" s="1"/>
      <c r="B4" s="4" t="s">
        <v>264</v>
      </c>
      <c r="C4" s="1" t="s">
        <v>265</v>
      </c>
      <c r="D4" s="4" t="s">
        <v>266</v>
      </c>
      <c r="E4" s="4" t="s">
        <v>267</v>
      </c>
      <c r="M4" s="1"/>
    </row>
    <row r="5" spans="1:13">
      <c r="A5" s="1"/>
      <c r="M5" s="1"/>
    </row>
    <row r="6" spans="1:13">
      <c r="M6" s="1"/>
    </row>
    <row r="9" spans="1:13" ht="30">
      <c r="A9" s="3" t="s">
        <v>28</v>
      </c>
      <c r="B9" s="3" t="s">
        <v>29</v>
      </c>
      <c r="C9" s="3" t="s">
        <v>30</v>
      </c>
      <c r="D9" s="3" t="s">
        <v>31</v>
      </c>
      <c r="E9" s="3" t="s">
        <v>32</v>
      </c>
      <c r="F9" s="3" t="s">
        <v>33</v>
      </c>
      <c r="G9" s="3" t="s">
        <v>34</v>
      </c>
      <c r="H9" s="3" t="s">
        <v>35</v>
      </c>
      <c r="I9" s="3" t="s">
        <v>36</v>
      </c>
    </row>
    <row r="10" spans="1:13" ht="45">
      <c r="A10" s="1" t="s">
        <v>254</v>
      </c>
      <c r="B10" s="8" t="s">
        <v>27</v>
      </c>
      <c r="C10" s="9" t="s">
        <v>268</v>
      </c>
      <c r="D10" s="9"/>
      <c r="E10" s="9">
        <v>10000</v>
      </c>
      <c r="F10" s="9">
        <v>200</v>
      </c>
      <c r="G10" s="9">
        <v>200</v>
      </c>
      <c r="H10" s="9">
        <v>300</v>
      </c>
      <c r="I10" s="9"/>
    </row>
    <row r="11" spans="1:13" ht="60">
      <c r="A11" s="1" t="s">
        <v>259</v>
      </c>
      <c r="B11" s="8" t="s">
        <v>27</v>
      </c>
      <c r="C11" s="9" t="s">
        <v>269</v>
      </c>
      <c r="D11" s="9"/>
      <c r="E11" s="9">
        <v>10000</v>
      </c>
      <c r="F11" s="9">
        <v>200</v>
      </c>
      <c r="G11" s="9">
        <v>200</v>
      </c>
      <c r="H11" s="9">
        <v>300</v>
      </c>
      <c r="I11" s="9"/>
    </row>
    <row r="12" spans="1:13" ht="90">
      <c r="A12" s="4" t="s">
        <v>264</v>
      </c>
      <c r="B12" s="1" t="s">
        <v>259</v>
      </c>
      <c r="C12" s="9" t="s">
        <v>270</v>
      </c>
      <c r="D12" s="9"/>
      <c r="E12" s="9">
        <v>25000</v>
      </c>
      <c r="F12" s="9">
        <v>400</v>
      </c>
      <c r="G12" s="9">
        <v>500</v>
      </c>
      <c r="H12" s="9">
        <v>500</v>
      </c>
      <c r="I12" s="9"/>
    </row>
    <row r="13" spans="1:13" ht="45">
      <c r="A13" s="1" t="s">
        <v>255</v>
      </c>
      <c r="B13" s="1" t="s">
        <v>254</v>
      </c>
      <c r="C13" s="9" t="s">
        <v>271</v>
      </c>
      <c r="E13" s="4">
        <v>20000</v>
      </c>
      <c r="F13" s="4">
        <v>300</v>
      </c>
      <c r="G13" s="4">
        <v>300</v>
      </c>
      <c r="H13" s="4">
        <v>400</v>
      </c>
    </row>
    <row r="14" spans="1:13" ht="75">
      <c r="A14" s="1" t="s">
        <v>260</v>
      </c>
      <c r="B14" s="1" t="s">
        <v>259</v>
      </c>
      <c r="C14" s="9" t="s">
        <v>272</v>
      </c>
      <c r="E14" s="4">
        <v>20000</v>
      </c>
      <c r="F14" s="4">
        <v>300</v>
      </c>
      <c r="G14" s="4">
        <v>300</v>
      </c>
      <c r="H14" s="4">
        <v>400</v>
      </c>
    </row>
    <row r="15" spans="1:13" ht="90">
      <c r="A15" s="1" t="s">
        <v>265</v>
      </c>
      <c r="B15" s="1" t="s">
        <v>273</v>
      </c>
      <c r="C15" s="4" t="s">
        <v>274</v>
      </c>
      <c r="E15" s="4">
        <v>35000</v>
      </c>
      <c r="F15" s="4">
        <v>800</v>
      </c>
      <c r="G15" s="4">
        <v>1000</v>
      </c>
      <c r="H15" s="4">
        <v>1000</v>
      </c>
    </row>
    <row r="16" spans="1:13" ht="45">
      <c r="A16" s="4" t="s">
        <v>256</v>
      </c>
      <c r="B16" s="1" t="s">
        <v>255</v>
      </c>
      <c r="C16" s="9" t="s">
        <v>275</v>
      </c>
      <c r="E16" s="4">
        <v>40000</v>
      </c>
      <c r="F16" s="4">
        <v>400</v>
      </c>
      <c r="G16" s="4">
        <v>400</v>
      </c>
      <c r="H16" s="4">
        <v>500</v>
      </c>
    </row>
    <row r="17" spans="1:8" ht="60">
      <c r="A17" s="4" t="s">
        <v>261</v>
      </c>
      <c r="B17" s="1" t="s">
        <v>260</v>
      </c>
      <c r="C17" s="9" t="s">
        <v>276</v>
      </c>
      <c r="E17" s="4">
        <v>40000</v>
      </c>
      <c r="F17" s="4">
        <v>400</v>
      </c>
      <c r="G17" s="4">
        <v>400</v>
      </c>
      <c r="H17" s="4">
        <v>500</v>
      </c>
    </row>
    <row r="18" spans="1:8" ht="75">
      <c r="A18" s="4" t="s">
        <v>266</v>
      </c>
      <c r="B18" s="1" t="s">
        <v>265</v>
      </c>
      <c r="C18" s="4" t="s">
        <v>277</v>
      </c>
      <c r="E18" s="4">
        <v>50000</v>
      </c>
      <c r="F18" s="4">
        <v>1200</v>
      </c>
      <c r="G18" s="4">
        <v>1500</v>
      </c>
      <c r="H18" s="4">
        <v>1000</v>
      </c>
    </row>
    <row r="19" spans="1:8" ht="90">
      <c r="A19" s="4" t="s">
        <v>257</v>
      </c>
      <c r="C19" s="4" t="s">
        <v>278</v>
      </c>
      <c r="E19" s="4">
        <v>100000</v>
      </c>
      <c r="F19" s="4">
        <v>200</v>
      </c>
      <c r="G19" s="4">
        <v>1000</v>
      </c>
      <c r="H19" s="4">
        <v>1000</v>
      </c>
    </row>
    <row r="20" spans="1:8" ht="75">
      <c r="A20" s="4" t="s">
        <v>262</v>
      </c>
      <c r="C20" s="4" t="s">
        <v>279</v>
      </c>
      <c r="E20" s="4">
        <v>1000000</v>
      </c>
      <c r="F20" s="4">
        <v>800</v>
      </c>
      <c r="G20" s="4">
        <v>2000</v>
      </c>
      <c r="H20" s="4">
        <v>5000</v>
      </c>
    </row>
    <row r="21" spans="1:8" ht="90">
      <c r="A21" s="4" t="s">
        <v>258</v>
      </c>
      <c r="C21" s="4" t="s">
        <v>280</v>
      </c>
      <c r="E21" s="4">
        <v>100000</v>
      </c>
      <c r="F21" s="4">
        <v>1000</v>
      </c>
      <c r="G21" s="4">
        <v>1000</v>
      </c>
      <c r="H21" s="4">
        <v>1000</v>
      </c>
    </row>
    <row r="22" spans="1:8" ht="45">
      <c r="A22" s="4" t="s">
        <v>263</v>
      </c>
      <c r="B22" s="4" t="s">
        <v>262</v>
      </c>
      <c r="C22" s="4" t="s">
        <v>281</v>
      </c>
      <c r="E22" s="4">
        <v>500000</v>
      </c>
      <c r="F22" s="4">
        <v>300</v>
      </c>
      <c r="G22" s="4">
        <v>1000</v>
      </c>
      <c r="H22" s="4">
        <v>1000</v>
      </c>
    </row>
    <row r="23" spans="1:8" ht="105">
      <c r="A23" s="4" t="s">
        <v>267</v>
      </c>
      <c r="B23" s="4" t="s">
        <v>263</v>
      </c>
      <c r="C23" s="4" t="s">
        <v>282</v>
      </c>
      <c r="E23" s="4">
        <v>35000</v>
      </c>
      <c r="F23" s="4">
        <v>400</v>
      </c>
      <c r="G23" s="4">
        <v>400</v>
      </c>
      <c r="H23" s="4">
        <v>400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9"/>
  <sheetViews>
    <sheetView topLeftCell="A22" workbookViewId="0">
      <selection activeCell="L27" sqref="L27"/>
    </sheetView>
  </sheetViews>
  <sheetFormatPr defaultRowHeight="15"/>
  <cols>
    <col min="1" max="1" width="14.7109375" style="4" bestFit="1" customWidth="1"/>
    <col min="2" max="2" width="17.42578125" style="4" bestFit="1" customWidth="1"/>
    <col min="3" max="3" width="15" style="4" bestFit="1" customWidth="1"/>
    <col min="4" max="4" width="15.140625" style="4" customWidth="1"/>
    <col min="5" max="5" width="17.7109375" style="4" bestFit="1" customWidth="1"/>
    <col min="6" max="16384" width="9.140625" style="4"/>
  </cols>
  <sheetData>
    <row r="1" spans="1:14">
      <c r="A1" s="3" t="s">
        <v>0</v>
      </c>
      <c r="B1" s="3" t="s">
        <v>1</v>
      </c>
      <c r="C1" s="3" t="s">
        <v>2</v>
      </c>
      <c r="D1" s="3" t="s">
        <v>3</v>
      </c>
      <c r="E1" s="3" t="s">
        <v>4</v>
      </c>
    </row>
    <row r="2" spans="1:14" ht="45">
      <c r="A2" s="4" t="s">
        <v>283</v>
      </c>
      <c r="B2" s="4" t="s">
        <v>284</v>
      </c>
      <c r="C2" s="4" t="s">
        <v>285</v>
      </c>
      <c r="D2" s="4" t="s">
        <v>286</v>
      </c>
      <c r="E2" s="4" t="s">
        <v>287</v>
      </c>
    </row>
    <row r="3" spans="1:14" ht="45">
      <c r="D3" s="4" t="s">
        <v>288</v>
      </c>
      <c r="E3" s="4" t="s">
        <v>289</v>
      </c>
      <c r="N3" s="1"/>
    </row>
    <row r="4" spans="1:14" ht="45">
      <c r="D4" s="4" t="s">
        <v>290</v>
      </c>
      <c r="E4" s="4" t="s">
        <v>291</v>
      </c>
      <c r="N4" s="1"/>
    </row>
    <row r="5" spans="1:14">
      <c r="N5" s="1"/>
    </row>
    <row r="6" spans="1:14">
      <c r="N6" s="1"/>
    </row>
    <row r="7" spans="1:14">
      <c r="N7" s="1"/>
    </row>
    <row r="20" spans="1:9" ht="30">
      <c r="A20" s="3" t="s">
        <v>28</v>
      </c>
      <c r="B20" s="3" t="s">
        <v>29</v>
      </c>
      <c r="C20" s="3" t="s">
        <v>30</v>
      </c>
      <c r="D20" s="3" t="s">
        <v>31</v>
      </c>
      <c r="E20" s="3" t="s">
        <v>32</v>
      </c>
      <c r="F20" s="3" t="s">
        <v>33</v>
      </c>
      <c r="G20" s="3" t="s">
        <v>34</v>
      </c>
      <c r="H20" s="3" t="s">
        <v>35</v>
      </c>
      <c r="I20" s="3" t="s">
        <v>36</v>
      </c>
    </row>
    <row r="21" spans="1:9" ht="90">
      <c r="A21" s="4" t="s">
        <v>283</v>
      </c>
      <c r="B21" s="1" t="s">
        <v>51</v>
      </c>
      <c r="C21" s="4" t="s">
        <v>292</v>
      </c>
      <c r="E21" s="4">
        <v>20000</v>
      </c>
      <c r="F21" s="4">
        <v>100</v>
      </c>
      <c r="G21" s="4">
        <v>100</v>
      </c>
      <c r="H21" s="4">
        <v>100</v>
      </c>
    </row>
    <row r="22" spans="1:9" ht="105">
      <c r="A22" s="4" t="s">
        <v>293</v>
      </c>
      <c r="B22" s="4" t="s">
        <v>283</v>
      </c>
      <c r="C22" s="4" t="s">
        <v>294</v>
      </c>
      <c r="E22" s="4">
        <v>30000</v>
      </c>
      <c r="F22" s="4">
        <v>200</v>
      </c>
      <c r="G22" s="4">
        <v>200</v>
      </c>
      <c r="H22" s="4">
        <v>200</v>
      </c>
    </row>
    <row r="23" spans="1:9" ht="90">
      <c r="A23" s="4" t="s">
        <v>295</v>
      </c>
      <c r="B23" s="4" t="s">
        <v>284</v>
      </c>
      <c r="C23" s="4" t="s">
        <v>296</v>
      </c>
      <c r="E23" s="4">
        <v>40000</v>
      </c>
      <c r="F23" s="4">
        <v>300</v>
      </c>
      <c r="G23" s="4">
        <v>300</v>
      </c>
      <c r="H23" s="4">
        <v>300</v>
      </c>
    </row>
    <row r="24" spans="1:9" ht="105">
      <c r="A24" s="4" t="s">
        <v>286</v>
      </c>
      <c r="B24" s="4" t="s">
        <v>285</v>
      </c>
      <c r="C24" s="4" t="s">
        <v>297</v>
      </c>
      <c r="E24" s="4">
        <v>25000</v>
      </c>
      <c r="F24" s="4">
        <v>200</v>
      </c>
      <c r="G24" s="4">
        <v>400</v>
      </c>
      <c r="H24" s="4">
        <v>300</v>
      </c>
    </row>
    <row r="25" spans="1:9" ht="45">
      <c r="A25" s="4" t="s">
        <v>288</v>
      </c>
      <c r="C25" s="4" t="s">
        <v>298</v>
      </c>
      <c r="E25" s="4">
        <v>10000</v>
      </c>
      <c r="F25" s="4">
        <v>100</v>
      </c>
      <c r="G25" s="4">
        <v>100</v>
      </c>
      <c r="H25" s="4">
        <v>100</v>
      </c>
    </row>
    <row r="26" spans="1:9" ht="60">
      <c r="A26" s="4" t="s">
        <v>290</v>
      </c>
      <c r="C26" s="4" t="s">
        <v>299</v>
      </c>
      <c r="E26" s="4">
        <v>10000</v>
      </c>
      <c r="F26" s="4">
        <v>100</v>
      </c>
      <c r="G26" s="4">
        <v>100</v>
      </c>
      <c r="H26" s="4">
        <v>100</v>
      </c>
    </row>
    <row r="27" spans="1:9" ht="75">
      <c r="A27" s="4" t="s">
        <v>287</v>
      </c>
      <c r="B27" s="4" t="s">
        <v>286</v>
      </c>
      <c r="C27" s="4" t="s">
        <v>300</v>
      </c>
      <c r="E27" s="4">
        <v>50000</v>
      </c>
      <c r="F27" s="4">
        <v>500</v>
      </c>
      <c r="G27" s="4">
        <v>1000</v>
      </c>
      <c r="H27" s="4">
        <v>800</v>
      </c>
    </row>
    <row r="28" spans="1:9" ht="60">
      <c r="A28" s="4" t="s">
        <v>289</v>
      </c>
      <c r="C28" s="4" t="s">
        <v>301</v>
      </c>
      <c r="E28" s="4">
        <v>10000</v>
      </c>
      <c r="F28" s="4">
        <v>100</v>
      </c>
      <c r="G28" s="4">
        <v>100</v>
      </c>
      <c r="H28" s="4">
        <v>100</v>
      </c>
    </row>
    <row r="29" spans="1:9" ht="30">
      <c r="A29" s="4" t="s">
        <v>291</v>
      </c>
      <c r="C29" s="4" t="s">
        <v>302</v>
      </c>
      <c r="E29" s="4">
        <v>10000</v>
      </c>
      <c r="F29" s="4">
        <v>100</v>
      </c>
      <c r="G29" s="4">
        <v>100</v>
      </c>
      <c r="H29" s="4">
        <v>100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48"/>
  <sheetViews>
    <sheetView topLeftCell="A42" workbookViewId="0">
      <selection activeCell="D46" sqref="D46"/>
    </sheetView>
  </sheetViews>
  <sheetFormatPr defaultColWidth="25.28515625" defaultRowHeight="15"/>
  <cols>
    <col min="1" max="1" width="24.5703125" style="4" bestFit="1" customWidth="1"/>
    <col min="2" max="2" width="22.85546875" style="4" bestFit="1" customWidth="1"/>
    <col min="3" max="3" width="35" style="4" bestFit="1" customWidth="1"/>
    <col min="4" max="4" width="24.5703125" style="4" bestFit="1" customWidth="1"/>
    <col min="5" max="5" width="23.7109375" style="4" bestFit="1" customWidth="1"/>
    <col min="6" max="6" width="9.5703125" style="4" bestFit="1" customWidth="1"/>
    <col min="7" max="7" width="7" style="4" bestFit="1" customWidth="1"/>
    <col min="8" max="8" width="10.7109375" style="4" bestFit="1" customWidth="1"/>
    <col min="9" max="9" width="13.5703125" style="4" bestFit="1" customWidth="1"/>
    <col min="10" max="16384" width="25.28515625" style="4"/>
  </cols>
  <sheetData>
    <row r="1" spans="1:9">
      <c r="A1" s="3" t="s">
        <v>0</v>
      </c>
      <c r="B1" s="3" t="s">
        <v>1</v>
      </c>
      <c r="C1" s="3" t="s">
        <v>2</v>
      </c>
      <c r="D1" s="3" t="s">
        <v>3</v>
      </c>
      <c r="E1" s="3" t="s">
        <v>4</v>
      </c>
    </row>
    <row r="2" spans="1:9" ht="30">
      <c r="A2" s="4" t="s">
        <v>303</v>
      </c>
      <c r="B2" s="4" t="s">
        <v>304</v>
      </c>
      <c r="C2" s="4" t="s">
        <v>305</v>
      </c>
      <c r="D2" s="4" t="s">
        <v>306</v>
      </c>
      <c r="E2" s="4" t="s">
        <v>307</v>
      </c>
    </row>
    <row r="3" spans="1:9">
      <c r="A3" s="4" t="s">
        <v>308</v>
      </c>
      <c r="B3" s="4" t="s">
        <v>309</v>
      </c>
      <c r="C3" s="4" t="s">
        <v>310</v>
      </c>
      <c r="D3" s="4" t="s">
        <v>311</v>
      </c>
      <c r="E3" s="4" t="s">
        <v>312</v>
      </c>
    </row>
    <row r="4" spans="1:9">
      <c r="A4" s="4" t="s">
        <v>313</v>
      </c>
      <c r="B4" s="4" t="s">
        <v>314</v>
      </c>
      <c r="C4" s="4" t="s">
        <v>315</v>
      </c>
      <c r="D4" s="4" t="s">
        <v>316</v>
      </c>
      <c r="E4" s="4" t="s">
        <v>317</v>
      </c>
    </row>
    <row r="5" spans="1:9">
      <c r="B5" s="4" t="s">
        <v>318</v>
      </c>
      <c r="C5" s="4" t="s">
        <v>319</v>
      </c>
      <c r="D5" s="4" t="s">
        <v>320</v>
      </c>
      <c r="E5" s="4" t="s">
        <v>321</v>
      </c>
    </row>
    <row r="6" spans="1:9">
      <c r="B6" s="4" t="s">
        <v>322</v>
      </c>
      <c r="C6" s="4" t="s">
        <v>323</v>
      </c>
      <c r="D6" s="4" t="s">
        <v>324</v>
      </c>
      <c r="E6" s="4" t="s">
        <v>325</v>
      </c>
    </row>
    <row r="7" spans="1:9" ht="30">
      <c r="B7" s="4" t="s">
        <v>326</v>
      </c>
      <c r="D7" s="4" t="s">
        <v>327</v>
      </c>
      <c r="E7" s="4" t="s">
        <v>328</v>
      </c>
    </row>
    <row r="8" spans="1:9" ht="30">
      <c r="D8" s="4" t="s">
        <v>329</v>
      </c>
      <c r="E8" s="4" t="s">
        <v>330</v>
      </c>
    </row>
    <row r="9" spans="1:9">
      <c r="E9" s="4" t="s">
        <v>331</v>
      </c>
    </row>
    <row r="10" spans="1:9">
      <c r="E10" s="4" t="s">
        <v>332</v>
      </c>
    </row>
    <row r="11" spans="1:9" ht="30">
      <c r="E11" s="4" t="s">
        <v>333</v>
      </c>
    </row>
    <row r="12" spans="1:9">
      <c r="E12" s="4" t="s">
        <v>334</v>
      </c>
    </row>
    <row r="16" spans="1:9">
      <c r="A16" s="3" t="s">
        <v>28</v>
      </c>
      <c r="B16" s="3" t="s">
        <v>29</v>
      </c>
      <c r="C16" s="3" t="s">
        <v>30</v>
      </c>
      <c r="D16" s="3" t="s">
        <v>31</v>
      </c>
      <c r="E16" s="3" t="s">
        <v>32</v>
      </c>
      <c r="F16" s="3" t="s">
        <v>33</v>
      </c>
      <c r="G16" s="3" t="s">
        <v>34</v>
      </c>
      <c r="H16" s="3" t="s">
        <v>35</v>
      </c>
      <c r="I16" s="3" t="s">
        <v>36</v>
      </c>
    </row>
    <row r="17" spans="1:8" ht="30">
      <c r="A17" s="4" t="s">
        <v>303</v>
      </c>
      <c r="B17" s="4" t="s">
        <v>16</v>
      </c>
      <c r="C17" s="4" t="s">
        <v>335</v>
      </c>
      <c r="E17" s="4">
        <v>10000</v>
      </c>
      <c r="F17" s="4">
        <v>200</v>
      </c>
      <c r="G17" s="4">
        <v>200</v>
      </c>
      <c r="H17" s="4">
        <v>200</v>
      </c>
    </row>
    <row r="18" spans="1:8" ht="30">
      <c r="A18" s="4" t="s">
        <v>308</v>
      </c>
      <c r="B18" s="4" t="s">
        <v>98</v>
      </c>
      <c r="C18" s="4" t="s">
        <v>336</v>
      </c>
      <c r="E18" s="4">
        <v>5000</v>
      </c>
      <c r="F18" s="4">
        <v>200</v>
      </c>
      <c r="G18" s="4">
        <v>200</v>
      </c>
      <c r="H18" s="4">
        <v>200</v>
      </c>
    </row>
    <row r="19" spans="1:8" ht="30">
      <c r="A19" s="4" t="s">
        <v>313</v>
      </c>
      <c r="B19" s="4" t="s">
        <v>16</v>
      </c>
      <c r="C19" s="4" t="s">
        <v>337</v>
      </c>
      <c r="E19" s="4">
        <v>5000</v>
      </c>
      <c r="F19" s="4">
        <v>100</v>
      </c>
      <c r="G19" s="4">
        <v>100</v>
      </c>
      <c r="H19" s="4">
        <v>100</v>
      </c>
    </row>
    <row r="20" spans="1:8" ht="75">
      <c r="A20" s="4" t="s">
        <v>304</v>
      </c>
      <c r="B20" s="4" t="s">
        <v>303</v>
      </c>
      <c r="C20" s="4" t="s">
        <v>338</v>
      </c>
      <c r="D20" s="4" t="s">
        <v>339</v>
      </c>
      <c r="E20" s="4">
        <v>2000</v>
      </c>
      <c r="F20" s="4">
        <v>200</v>
      </c>
      <c r="G20" s="4">
        <v>100</v>
      </c>
      <c r="H20" s="4">
        <v>100</v>
      </c>
    </row>
    <row r="21" spans="1:8" ht="75">
      <c r="A21" s="4" t="s">
        <v>309</v>
      </c>
      <c r="B21" s="4" t="s">
        <v>303</v>
      </c>
      <c r="C21" s="4" t="s">
        <v>340</v>
      </c>
      <c r="D21" s="4" t="s">
        <v>339</v>
      </c>
      <c r="E21" s="4">
        <v>2000</v>
      </c>
      <c r="F21" s="4">
        <v>100</v>
      </c>
      <c r="G21" s="4">
        <v>200</v>
      </c>
      <c r="H21" s="4">
        <v>100</v>
      </c>
    </row>
    <row r="22" spans="1:8" ht="30">
      <c r="A22" s="4" t="s">
        <v>314</v>
      </c>
      <c r="B22" s="4" t="s">
        <v>303</v>
      </c>
      <c r="C22" s="4" t="s">
        <v>341</v>
      </c>
      <c r="E22" s="4">
        <v>2000</v>
      </c>
      <c r="F22" s="4">
        <v>100</v>
      </c>
      <c r="G22" s="4">
        <v>100</v>
      </c>
      <c r="H22" s="4">
        <v>200</v>
      </c>
    </row>
    <row r="23" spans="1:8" ht="75">
      <c r="A23" s="4" t="s">
        <v>318</v>
      </c>
      <c r="B23" s="4" t="s">
        <v>303</v>
      </c>
      <c r="C23" s="4" t="s">
        <v>342</v>
      </c>
      <c r="D23" s="4" t="s">
        <v>339</v>
      </c>
      <c r="E23" s="4">
        <v>3000</v>
      </c>
      <c r="F23" s="4">
        <v>200</v>
      </c>
      <c r="G23" s="4">
        <v>200</v>
      </c>
      <c r="H23" s="4">
        <v>100</v>
      </c>
    </row>
    <row r="24" spans="1:8" ht="30">
      <c r="A24" s="4" t="s">
        <v>322</v>
      </c>
      <c r="B24" s="4" t="s">
        <v>254</v>
      </c>
      <c r="C24" s="4" t="s">
        <v>343</v>
      </c>
      <c r="E24" s="4">
        <v>5000</v>
      </c>
      <c r="F24" s="4">
        <v>200</v>
      </c>
      <c r="G24" s="4">
        <v>200</v>
      </c>
      <c r="H24" s="4">
        <v>100</v>
      </c>
    </row>
    <row r="25" spans="1:8" ht="30">
      <c r="A25" s="4" t="s">
        <v>326</v>
      </c>
      <c r="B25" s="4" t="s">
        <v>303</v>
      </c>
      <c r="C25" s="4" t="s">
        <v>344</v>
      </c>
      <c r="E25" s="4">
        <v>20000</v>
      </c>
      <c r="F25" s="4">
        <v>400</v>
      </c>
      <c r="G25" s="4">
        <v>400</v>
      </c>
      <c r="H25" s="4">
        <v>400</v>
      </c>
    </row>
    <row r="26" spans="1:8" ht="30">
      <c r="A26" s="4" t="s">
        <v>305</v>
      </c>
      <c r="B26" s="4" t="s">
        <v>326</v>
      </c>
      <c r="C26" s="4" t="s">
        <v>345</v>
      </c>
      <c r="E26" s="4">
        <v>50000</v>
      </c>
      <c r="F26" s="4">
        <v>500</v>
      </c>
      <c r="G26" s="4">
        <v>500</v>
      </c>
      <c r="H26" s="4">
        <v>500</v>
      </c>
    </row>
    <row r="27" spans="1:8" ht="75">
      <c r="A27" s="4" t="s">
        <v>310</v>
      </c>
      <c r="B27" s="4" t="s">
        <v>304</v>
      </c>
      <c r="C27" s="4" t="s">
        <v>346</v>
      </c>
      <c r="D27" s="4" t="s">
        <v>339</v>
      </c>
      <c r="E27" s="4">
        <v>5000</v>
      </c>
      <c r="F27" s="4">
        <v>300</v>
      </c>
      <c r="G27" s="4">
        <v>200</v>
      </c>
      <c r="H27" s="4">
        <v>200</v>
      </c>
    </row>
    <row r="28" spans="1:8" ht="75">
      <c r="A28" s="4" t="s">
        <v>315</v>
      </c>
      <c r="B28" s="4" t="s">
        <v>310</v>
      </c>
      <c r="C28" s="4" t="s">
        <v>338</v>
      </c>
      <c r="D28" s="4" t="s">
        <v>339</v>
      </c>
      <c r="E28" s="4">
        <v>5000</v>
      </c>
      <c r="F28" s="4">
        <v>300</v>
      </c>
      <c r="G28" s="4">
        <v>200</v>
      </c>
      <c r="H28" s="4">
        <v>200</v>
      </c>
    </row>
    <row r="29" spans="1:8" ht="75">
      <c r="A29" s="4" t="s">
        <v>319</v>
      </c>
      <c r="B29" s="4" t="s">
        <v>326</v>
      </c>
      <c r="C29" s="4" t="s">
        <v>347</v>
      </c>
      <c r="D29" s="4" t="s">
        <v>339</v>
      </c>
      <c r="E29" s="4">
        <v>5000</v>
      </c>
      <c r="F29" s="4">
        <v>200</v>
      </c>
      <c r="G29" s="4">
        <v>300</v>
      </c>
      <c r="H29" s="4">
        <v>200</v>
      </c>
    </row>
    <row r="30" spans="1:8" ht="30">
      <c r="A30" s="4" t="s">
        <v>323</v>
      </c>
      <c r="B30" s="4" t="s">
        <v>326</v>
      </c>
      <c r="C30" s="4" t="s">
        <v>348</v>
      </c>
      <c r="E30" s="4">
        <v>40000</v>
      </c>
      <c r="F30" s="4">
        <v>800</v>
      </c>
      <c r="G30" s="4">
        <v>800</v>
      </c>
      <c r="H30" s="4">
        <v>800</v>
      </c>
    </row>
    <row r="31" spans="1:8" ht="75">
      <c r="A31" s="4" t="s">
        <v>306</v>
      </c>
      <c r="B31" s="4" t="s">
        <v>323</v>
      </c>
      <c r="C31" s="4" t="s">
        <v>349</v>
      </c>
      <c r="D31" s="4" t="s">
        <v>339</v>
      </c>
      <c r="E31" s="4">
        <v>7500</v>
      </c>
      <c r="F31" s="4">
        <v>200</v>
      </c>
      <c r="G31" s="4">
        <v>400</v>
      </c>
      <c r="H31" s="4">
        <v>200</v>
      </c>
    </row>
    <row r="32" spans="1:8" ht="75">
      <c r="A32" s="4" t="s">
        <v>311</v>
      </c>
      <c r="B32" s="4" t="s">
        <v>309</v>
      </c>
      <c r="C32" s="4" t="s">
        <v>350</v>
      </c>
      <c r="D32" s="4" t="s">
        <v>339</v>
      </c>
      <c r="E32" s="4">
        <v>7500</v>
      </c>
      <c r="F32" s="4">
        <v>200</v>
      </c>
      <c r="G32" s="4">
        <v>400</v>
      </c>
      <c r="H32" s="4">
        <v>200</v>
      </c>
    </row>
    <row r="33" spans="1:8" ht="75">
      <c r="A33" s="4" t="s">
        <v>316</v>
      </c>
      <c r="B33" s="4" t="s">
        <v>315</v>
      </c>
      <c r="C33" s="4" t="s">
        <v>338</v>
      </c>
      <c r="D33" s="4" t="s">
        <v>339</v>
      </c>
      <c r="E33" s="4">
        <v>7500</v>
      </c>
      <c r="F33" s="4">
        <v>400</v>
      </c>
      <c r="G33" s="4">
        <v>200</v>
      </c>
      <c r="H33" s="4">
        <v>200</v>
      </c>
    </row>
    <row r="34" spans="1:8" ht="75">
      <c r="A34" s="4" t="s">
        <v>320</v>
      </c>
      <c r="B34" s="4" t="s">
        <v>306</v>
      </c>
      <c r="C34" s="4" t="s">
        <v>351</v>
      </c>
      <c r="D34" s="4" t="s">
        <v>339</v>
      </c>
      <c r="E34" s="4">
        <v>7500</v>
      </c>
      <c r="F34" s="4">
        <v>200</v>
      </c>
      <c r="G34" s="4">
        <v>400</v>
      </c>
      <c r="H34" s="4">
        <v>200</v>
      </c>
    </row>
    <row r="35" spans="1:8" ht="75">
      <c r="A35" s="4" t="s">
        <v>324</v>
      </c>
      <c r="B35" s="4" t="s">
        <v>318</v>
      </c>
      <c r="C35" s="4" t="s">
        <v>352</v>
      </c>
      <c r="D35" s="4" t="s">
        <v>339</v>
      </c>
      <c r="E35" s="4">
        <v>7500</v>
      </c>
      <c r="F35" s="4">
        <v>400</v>
      </c>
      <c r="G35" s="4">
        <v>400</v>
      </c>
      <c r="H35" s="4">
        <v>200</v>
      </c>
    </row>
    <row r="36" spans="1:8" ht="75">
      <c r="A36" s="4" t="s">
        <v>327</v>
      </c>
      <c r="B36" s="4" t="s">
        <v>309</v>
      </c>
      <c r="C36" s="4" t="s">
        <v>353</v>
      </c>
      <c r="D36" s="4" t="s">
        <v>339</v>
      </c>
      <c r="E36" s="4">
        <v>7500</v>
      </c>
      <c r="F36" s="4">
        <v>300</v>
      </c>
      <c r="G36" s="4">
        <v>300</v>
      </c>
      <c r="H36" s="4">
        <v>300</v>
      </c>
    </row>
    <row r="37" spans="1:8" ht="30">
      <c r="A37" s="4" t="s">
        <v>329</v>
      </c>
      <c r="B37" s="4" t="s">
        <v>305</v>
      </c>
      <c r="C37" s="4" t="s">
        <v>354</v>
      </c>
      <c r="E37" s="4">
        <v>100000</v>
      </c>
      <c r="F37" s="4">
        <v>1000</v>
      </c>
      <c r="G37" s="4">
        <v>1000</v>
      </c>
      <c r="H37" s="4">
        <v>1000</v>
      </c>
    </row>
    <row r="38" spans="1:8" ht="75">
      <c r="A38" s="4" t="s">
        <v>307</v>
      </c>
      <c r="B38" s="4" t="s">
        <v>319</v>
      </c>
      <c r="C38" s="4" t="s">
        <v>355</v>
      </c>
      <c r="D38" s="4" t="s">
        <v>339</v>
      </c>
      <c r="E38" s="4">
        <v>10000</v>
      </c>
      <c r="F38" s="4">
        <v>200</v>
      </c>
      <c r="G38" s="4">
        <v>300</v>
      </c>
      <c r="H38" s="4">
        <v>500</v>
      </c>
    </row>
    <row r="39" spans="1:8" ht="75">
      <c r="A39" s="4" t="s">
        <v>312</v>
      </c>
      <c r="B39" s="4" t="s">
        <v>306</v>
      </c>
      <c r="C39" s="4" t="s">
        <v>356</v>
      </c>
      <c r="D39" s="4" t="s">
        <v>339</v>
      </c>
      <c r="E39" s="4">
        <v>10000</v>
      </c>
      <c r="F39" s="4">
        <v>300</v>
      </c>
      <c r="G39" s="4">
        <v>500</v>
      </c>
      <c r="H39" s="4">
        <v>300</v>
      </c>
    </row>
    <row r="40" spans="1:8" ht="75">
      <c r="A40" s="4" t="s">
        <v>317</v>
      </c>
      <c r="B40" s="4" t="s">
        <v>320</v>
      </c>
      <c r="C40" s="4" t="s">
        <v>357</v>
      </c>
      <c r="D40" s="4" t="s">
        <v>339</v>
      </c>
      <c r="E40" s="4">
        <v>10000</v>
      </c>
      <c r="F40" s="4">
        <v>300</v>
      </c>
      <c r="G40" s="4">
        <v>500</v>
      </c>
      <c r="H40" s="4">
        <v>300</v>
      </c>
    </row>
    <row r="41" spans="1:8" ht="75">
      <c r="A41" s="4" t="s">
        <v>321</v>
      </c>
      <c r="B41" s="4" t="s">
        <v>327</v>
      </c>
      <c r="C41" s="4" t="s">
        <v>358</v>
      </c>
      <c r="D41" s="4" t="s">
        <v>339</v>
      </c>
      <c r="E41" s="4">
        <v>10000</v>
      </c>
      <c r="F41" s="4">
        <v>500</v>
      </c>
      <c r="G41" s="4">
        <v>300</v>
      </c>
      <c r="H41" s="4">
        <v>300</v>
      </c>
    </row>
    <row r="42" spans="1:8" ht="75">
      <c r="A42" s="4" t="s">
        <v>325</v>
      </c>
      <c r="B42" s="4" t="s">
        <v>327</v>
      </c>
      <c r="C42" s="4" t="s">
        <v>359</v>
      </c>
      <c r="D42" s="4" t="s">
        <v>339</v>
      </c>
      <c r="E42" s="4">
        <v>10000</v>
      </c>
      <c r="F42" s="4">
        <v>500</v>
      </c>
      <c r="G42" s="4">
        <v>300</v>
      </c>
      <c r="H42" s="4">
        <v>300</v>
      </c>
    </row>
    <row r="43" spans="1:8" ht="75">
      <c r="A43" s="4" t="s">
        <v>328</v>
      </c>
      <c r="B43" s="4" t="s">
        <v>311</v>
      </c>
      <c r="C43" s="4" t="s">
        <v>340</v>
      </c>
      <c r="D43" s="4" t="s">
        <v>339</v>
      </c>
      <c r="E43" s="4">
        <v>10000</v>
      </c>
      <c r="F43" s="4">
        <v>300</v>
      </c>
      <c r="G43" s="4">
        <v>500</v>
      </c>
      <c r="H43" s="4">
        <v>300</v>
      </c>
    </row>
    <row r="44" spans="1:8" ht="75">
      <c r="A44" s="4" t="s">
        <v>330</v>
      </c>
      <c r="B44" s="4" t="s">
        <v>317</v>
      </c>
      <c r="C44" s="4" t="s">
        <v>360</v>
      </c>
      <c r="D44" s="4" t="s">
        <v>339</v>
      </c>
      <c r="E44" s="4">
        <v>10000</v>
      </c>
      <c r="F44" s="4">
        <v>300</v>
      </c>
      <c r="G44" s="4">
        <v>500</v>
      </c>
      <c r="H44" s="4">
        <v>300</v>
      </c>
    </row>
    <row r="45" spans="1:8" ht="75">
      <c r="A45" s="4" t="s">
        <v>331</v>
      </c>
      <c r="B45" s="4" t="s">
        <v>325</v>
      </c>
      <c r="C45" s="4" t="s">
        <v>361</v>
      </c>
      <c r="D45" s="4" t="s">
        <v>339</v>
      </c>
      <c r="E45" s="4">
        <v>10000</v>
      </c>
      <c r="F45" s="4">
        <v>500</v>
      </c>
      <c r="G45" s="4">
        <v>300</v>
      </c>
      <c r="H45" s="4">
        <v>300</v>
      </c>
    </row>
    <row r="46" spans="1:8" ht="75">
      <c r="A46" s="4" t="s">
        <v>332</v>
      </c>
      <c r="B46" s="4" t="s">
        <v>324</v>
      </c>
      <c r="C46" s="4" t="s">
        <v>362</v>
      </c>
      <c r="D46" s="4" t="s">
        <v>339</v>
      </c>
      <c r="E46" s="4">
        <v>10000</v>
      </c>
      <c r="F46" s="4">
        <v>500</v>
      </c>
      <c r="G46" s="4">
        <v>300</v>
      </c>
      <c r="H46" s="4">
        <v>300</v>
      </c>
    </row>
    <row r="47" spans="1:8" ht="30">
      <c r="A47" s="4" t="s">
        <v>333</v>
      </c>
      <c r="B47" s="4" t="s">
        <v>329</v>
      </c>
      <c r="C47" s="4" t="s">
        <v>363</v>
      </c>
      <c r="E47" s="4">
        <v>200000</v>
      </c>
      <c r="F47" s="4">
        <v>2000</v>
      </c>
      <c r="G47" s="4">
        <v>2000</v>
      </c>
      <c r="H47" s="4">
        <v>2000</v>
      </c>
    </row>
    <row r="48" spans="1:8" ht="30">
      <c r="A48" s="4" t="s">
        <v>334</v>
      </c>
      <c r="B48" s="4" t="s">
        <v>333</v>
      </c>
      <c r="C48" s="4" t="s">
        <v>364</v>
      </c>
      <c r="E48" s="4">
        <v>500000</v>
      </c>
      <c r="F48" s="4">
        <v>5000</v>
      </c>
      <c r="G48" s="4">
        <v>5000</v>
      </c>
      <c r="H48" s="4">
        <v>5000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2"/>
  <sheetViews>
    <sheetView workbookViewId="0"/>
  </sheetViews>
  <sheetFormatPr defaultRowHeight="15"/>
  <sheetData>
    <row r="1" spans="1:1" ht="45">
      <c r="A1" s="4" t="s">
        <v>308</v>
      </c>
    </row>
    <row r="2" spans="1:1" ht="30">
      <c r="A2" s="4" t="s">
        <v>313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29"/>
  <sheetViews>
    <sheetView topLeftCell="B23" workbookViewId="0">
      <selection activeCell="B23" sqref="B23"/>
    </sheetView>
  </sheetViews>
  <sheetFormatPr defaultRowHeight="15"/>
  <cols>
    <col min="1" max="1" width="13.7109375" style="4" customWidth="1"/>
    <col min="2" max="2" width="22" style="4" customWidth="1"/>
    <col min="3" max="4" width="16.140625" style="4" customWidth="1"/>
    <col min="5" max="5" width="13.42578125" style="4" customWidth="1"/>
    <col min="6" max="16384" width="9.140625" style="4"/>
  </cols>
  <sheetData>
    <row r="1" spans="1:13">
      <c r="A1" s="3" t="s">
        <v>0</v>
      </c>
      <c r="B1" s="3" t="s">
        <v>1</v>
      </c>
      <c r="C1" s="3" t="s">
        <v>2</v>
      </c>
      <c r="D1" s="3" t="s">
        <v>3</v>
      </c>
      <c r="E1" s="3" t="s">
        <v>4</v>
      </c>
    </row>
    <row r="2" spans="1:13" ht="45">
      <c r="A2" s="1" t="s">
        <v>365</v>
      </c>
      <c r="B2" s="1" t="s">
        <v>366</v>
      </c>
      <c r="C2" s="1" t="s">
        <v>367</v>
      </c>
      <c r="D2" s="1" t="s">
        <v>368</v>
      </c>
      <c r="E2" s="1" t="s">
        <v>369</v>
      </c>
      <c r="M2" s="1"/>
    </row>
    <row r="3" spans="1:13" ht="45">
      <c r="B3" s="4" t="s">
        <v>370</v>
      </c>
      <c r="C3" s="4" t="s">
        <v>371</v>
      </c>
      <c r="D3" s="4" t="s">
        <v>372</v>
      </c>
      <c r="E3" s="4" t="s">
        <v>373</v>
      </c>
      <c r="M3" s="1"/>
    </row>
    <row r="4" spans="1:13">
      <c r="M4" s="1"/>
    </row>
    <row r="5" spans="1:13">
      <c r="M5" s="1"/>
    </row>
    <row r="6" spans="1:13">
      <c r="M6" s="1"/>
    </row>
    <row r="7" spans="1:13">
      <c r="M7" s="1"/>
    </row>
    <row r="20" spans="1:9" ht="30">
      <c r="A20" s="3" t="s">
        <v>28</v>
      </c>
      <c r="B20" s="3" t="s">
        <v>29</v>
      </c>
      <c r="C20" s="3" t="s">
        <v>30</v>
      </c>
      <c r="D20" s="3" t="s">
        <v>31</v>
      </c>
      <c r="E20" s="3" t="s">
        <v>32</v>
      </c>
      <c r="F20" s="3" t="s">
        <v>33</v>
      </c>
      <c r="G20" s="3" t="s">
        <v>34</v>
      </c>
      <c r="H20" s="3" t="s">
        <v>35</v>
      </c>
      <c r="I20" s="3" t="s">
        <v>36</v>
      </c>
    </row>
    <row r="21" spans="1:9" ht="90">
      <c r="A21" s="1" t="s">
        <v>365</v>
      </c>
      <c r="B21" s="4" t="s">
        <v>14</v>
      </c>
      <c r="C21" s="4" t="s">
        <v>374</v>
      </c>
      <c r="E21" s="4">
        <v>15000</v>
      </c>
      <c r="F21" s="4">
        <v>200</v>
      </c>
      <c r="G21" s="4">
        <v>200</v>
      </c>
      <c r="H21" s="4">
        <v>100</v>
      </c>
    </row>
    <row r="22" spans="1:9" ht="75">
      <c r="A22" s="1" t="s">
        <v>366</v>
      </c>
      <c r="B22" s="1" t="s">
        <v>365</v>
      </c>
      <c r="C22" s="4" t="s">
        <v>375</v>
      </c>
      <c r="E22" s="4">
        <v>10000</v>
      </c>
      <c r="F22" s="4">
        <v>100</v>
      </c>
      <c r="G22" s="4">
        <v>200</v>
      </c>
      <c r="H22" s="4">
        <v>100</v>
      </c>
    </row>
    <row r="23" spans="1:9" ht="60">
      <c r="A23" s="4" t="s">
        <v>370</v>
      </c>
      <c r="B23" s="1" t="s">
        <v>365</v>
      </c>
      <c r="C23" s="4" t="s">
        <v>376</v>
      </c>
      <c r="E23" s="4">
        <v>45000</v>
      </c>
      <c r="F23" s="4">
        <v>250</v>
      </c>
      <c r="G23" s="4">
        <v>250</v>
      </c>
      <c r="H23" s="4">
        <v>250</v>
      </c>
    </row>
    <row r="24" spans="1:9" ht="90">
      <c r="A24" s="1" t="s">
        <v>367</v>
      </c>
      <c r="B24" s="1" t="s">
        <v>366</v>
      </c>
      <c r="C24" s="4" t="s">
        <v>377</v>
      </c>
      <c r="E24" s="4">
        <v>15000</v>
      </c>
      <c r="F24" s="4">
        <v>250</v>
      </c>
      <c r="G24" s="4">
        <v>250</v>
      </c>
      <c r="H24" s="4">
        <v>100</v>
      </c>
    </row>
    <row r="25" spans="1:9" ht="60">
      <c r="A25" s="4" t="s">
        <v>371</v>
      </c>
      <c r="B25" s="4" t="s">
        <v>370</v>
      </c>
      <c r="C25" s="4" t="s">
        <v>378</v>
      </c>
      <c r="E25" s="4">
        <v>90000</v>
      </c>
      <c r="F25" s="4">
        <v>500</v>
      </c>
      <c r="G25" s="4">
        <v>500</v>
      </c>
      <c r="H25" s="4">
        <v>500</v>
      </c>
    </row>
    <row r="26" spans="1:9" ht="45">
      <c r="A26" s="1" t="s">
        <v>368</v>
      </c>
      <c r="B26" s="1" t="s">
        <v>309</v>
      </c>
      <c r="C26" s="4" t="s">
        <v>379</v>
      </c>
      <c r="E26" s="4">
        <v>50000</v>
      </c>
      <c r="F26" s="4">
        <v>500</v>
      </c>
      <c r="G26" s="4">
        <v>1000</v>
      </c>
      <c r="H26" s="4">
        <v>500</v>
      </c>
    </row>
    <row r="27" spans="1:9" ht="60">
      <c r="A27" s="4" t="s">
        <v>372</v>
      </c>
      <c r="B27" s="4" t="s">
        <v>371</v>
      </c>
      <c r="C27" s="4" t="s">
        <v>380</v>
      </c>
      <c r="E27" s="4">
        <v>180000</v>
      </c>
      <c r="F27" s="4">
        <v>1000</v>
      </c>
      <c r="G27" s="4">
        <v>1000</v>
      </c>
      <c r="H27" s="4">
        <v>1000</v>
      </c>
    </row>
    <row r="28" spans="1:9" ht="45">
      <c r="A28" s="1" t="s">
        <v>369</v>
      </c>
      <c r="B28" s="1" t="s">
        <v>368</v>
      </c>
      <c r="C28" s="4" t="s">
        <v>381</v>
      </c>
      <c r="E28" s="4">
        <v>100000</v>
      </c>
      <c r="F28" s="4">
        <v>500</v>
      </c>
      <c r="G28" s="4">
        <v>1500</v>
      </c>
      <c r="H28" s="4">
        <v>500</v>
      </c>
    </row>
    <row r="29" spans="1:9" ht="105">
      <c r="A29" s="4" t="s">
        <v>373</v>
      </c>
      <c r="B29" s="4" t="s">
        <v>372</v>
      </c>
      <c r="C29" s="4" t="s">
        <v>382</v>
      </c>
      <c r="E29" s="4">
        <v>50000</v>
      </c>
      <c r="F29" s="4">
        <v>300</v>
      </c>
      <c r="G29" s="4">
        <v>300</v>
      </c>
      <c r="H29" s="4">
        <v>300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8"/>
  <sheetViews>
    <sheetView topLeftCell="A13" workbookViewId="0">
      <selection activeCell="B21" sqref="B21"/>
    </sheetView>
  </sheetViews>
  <sheetFormatPr defaultRowHeight="15"/>
  <cols>
    <col min="1" max="1" width="13.5703125" style="5" customWidth="1"/>
    <col min="2" max="2" width="19.7109375" style="5" customWidth="1"/>
    <col min="3" max="3" width="37.42578125" style="5" customWidth="1"/>
    <col min="4" max="4" width="27" style="5" customWidth="1"/>
    <col min="5" max="5" width="15.5703125" style="5" bestFit="1" customWidth="1"/>
    <col min="6" max="16384" width="9.140625" style="5"/>
  </cols>
  <sheetData>
    <row r="1" spans="1:5">
      <c r="A1" s="12" t="s">
        <v>0</v>
      </c>
      <c r="B1" s="12" t="s">
        <v>1</v>
      </c>
      <c r="C1" s="12" t="s">
        <v>2</v>
      </c>
      <c r="D1" s="12" t="s">
        <v>3</v>
      </c>
      <c r="E1" s="12" t="s">
        <v>4</v>
      </c>
    </row>
    <row r="2" spans="1:5" ht="30.75">
      <c r="A2" s="5" t="s">
        <v>383</v>
      </c>
      <c r="B2" s="5" t="s">
        <v>384</v>
      </c>
      <c r="C2" s="5" t="s">
        <v>385</v>
      </c>
      <c r="D2" s="5" t="s">
        <v>386</v>
      </c>
      <c r="E2" s="5" t="s">
        <v>387</v>
      </c>
    </row>
    <row r="3" spans="1:5">
      <c r="C3" s="5" t="s">
        <v>388</v>
      </c>
      <c r="E3" s="5" t="s">
        <v>389</v>
      </c>
    </row>
    <row r="4" spans="1:5" ht="30.75">
      <c r="E4" s="5" t="s">
        <v>390</v>
      </c>
    </row>
    <row r="20" spans="1:9" ht="30.75">
      <c r="A20" s="12" t="s">
        <v>28</v>
      </c>
      <c r="B20" s="12" t="s">
        <v>29</v>
      </c>
      <c r="C20" s="12" t="s">
        <v>30</v>
      </c>
      <c r="D20" s="12" t="s">
        <v>31</v>
      </c>
      <c r="E20" s="12" t="s">
        <v>32</v>
      </c>
      <c r="F20" s="12" t="s">
        <v>33</v>
      </c>
      <c r="G20" s="12" t="s">
        <v>34</v>
      </c>
      <c r="H20" s="12" t="s">
        <v>35</v>
      </c>
      <c r="I20" s="12" t="s">
        <v>36</v>
      </c>
    </row>
    <row r="21" spans="1:9" ht="45.75">
      <c r="A21" s="5" t="s">
        <v>383</v>
      </c>
      <c r="B21" s="4" t="s">
        <v>44</v>
      </c>
      <c r="C21" s="5" t="s">
        <v>391</v>
      </c>
      <c r="E21" s="5">
        <v>50000</v>
      </c>
      <c r="F21" s="5">
        <v>100</v>
      </c>
      <c r="G21" s="5">
        <v>200</v>
      </c>
      <c r="H21" s="5">
        <v>300</v>
      </c>
    </row>
    <row r="22" spans="1:9" ht="45.75">
      <c r="A22" s="5" t="s">
        <v>384</v>
      </c>
      <c r="B22" s="5" t="s">
        <v>383</v>
      </c>
      <c r="C22" s="5" t="s">
        <v>392</v>
      </c>
      <c r="E22" s="5">
        <v>10000</v>
      </c>
      <c r="F22" s="5">
        <v>100</v>
      </c>
      <c r="G22" s="5">
        <v>100</v>
      </c>
      <c r="H22" s="5">
        <v>200</v>
      </c>
    </row>
    <row r="23" spans="1:9" ht="60.75">
      <c r="A23" s="5" t="s">
        <v>385</v>
      </c>
      <c r="B23" s="5" t="s">
        <v>384</v>
      </c>
      <c r="C23" s="5" t="s">
        <v>393</v>
      </c>
      <c r="D23" s="5" t="s">
        <v>394</v>
      </c>
      <c r="E23" s="5">
        <v>20000</v>
      </c>
      <c r="F23" s="5">
        <v>200</v>
      </c>
      <c r="G23" s="5">
        <v>200</v>
      </c>
      <c r="H23" s="5">
        <v>300</v>
      </c>
    </row>
    <row r="24" spans="1:9" ht="45.75">
      <c r="A24" s="5" t="s">
        <v>388</v>
      </c>
      <c r="B24" s="5" t="s">
        <v>395</v>
      </c>
      <c r="C24" s="5" t="s">
        <v>396</v>
      </c>
      <c r="E24" s="5">
        <v>30000</v>
      </c>
      <c r="F24" s="5">
        <v>200</v>
      </c>
      <c r="G24" s="5">
        <v>200</v>
      </c>
      <c r="H24" s="5">
        <v>500</v>
      </c>
    </row>
    <row r="25" spans="1:9" ht="30.75">
      <c r="A25" s="5" t="s">
        <v>386</v>
      </c>
      <c r="B25" s="5" t="s">
        <v>385</v>
      </c>
      <c r="C25" s="5" t="s">
        <v>397</v>
      </c>
      <c r="D25" s="5" t="s">
        <v>398</v>
      </c>
      <c r="E25" s="5">
        <v>10000</v>
      </c>
      <c r="F25" s="5">
        <v>100</v>
      </c>
      <c r="G25" s="5">
        <v>100</v>
      </c>
      <c r="H25" s="5">
        <v>200</v>
      </c>
    </row>
    <row r="26" spans="1:9" ht="45.75">
      <c r="A26" s="5" t="s">
        <v>387</v>
      </c>
      <c r="B26" s="5" t="s">
        <v>386</v>
      </c>
      <c r="C26" s="5" t="s">
        <v>399</v>
      </c>
      <c r="D26" s="5" t="s">
        <v>398</v>
      </c>
      <c r="E26" s="5">
        <v>10000</v>
      </c>
      <c r="F26" s="5">
        <v>100</v>
      </c>
      <c r="G26" s="5">
        <v>100</v>
      </c>
      <c r="H26" s="5">
        <v>200</v>
      </c>
    </row>
    <row r="27" spans="1:9" ht="45.75">
      <c r="A27" s="5" t="s">
        <v>389</v>
      </c>
      <c r="B27" s="5" t="s">
        <v>400</v>
      </c>
      <c r="C27" s="5" t="s">
        <v>401</v>
      </c>
      <c r="D27" s="5" t="s">
        <v>398</v>
      </c>
      <c r="E27" s="5">
        <v>20000</v>
      </c>
      <c r="F27" s="5">
        <v>200</v>
      </c>
      <c r="G27" s="5">
        <v>200</v>
      </c>
      <c r="H27" s="5">
        <v>300</v>
      </c>
    </row>
    <row r="28" spans="1:9" ht="45.75">
      <c r="A28" s="5" t="s">
        <v>390</v>
      </c>
      <c r="B28" s="5" t="s">
        <v>400</v>
      </c>
      <c r="C28" s="5" t="s">
        <v>402</v>
      </c>
      <c r="E28" s="5">
        <v>30000</v>
      </c>
      <c r="F28" s="5">
        <v>200</v>
      </c>
      <c r="G28" s="5">
        <v>200</v>
      </c>
      <c r="H28" s="5">
        <v>500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36"/>
  <sheetViews>
    <sheetView topLeftCell="A18" workbookViewId="0">
      <selection activeCell="H22" sqref="H22"/>
    </sheetView>
  </sheetViews>
  <sheetFormatPr defaultRowHeight="15"/>
  <cols>
    <col min="1" max="1" width="12.42578125" style="5" customWidth="1"/>
    <col min="2" max="2" width="14.42578125" style="5" customWidth="1"/>
    <col min="3" max="3" width="22.5703125" style="5" customWidth="1"/>
    <col min="4" max="4" width="24.85546875" style="5" customWidth="1"/>
    <col min="5" max="5" width="12.7109375" style="5" customWidth="1"/>
    <col min="6" max="16384" width="9.140625" style="5"/>
  </cols>
  <sheetData>
    <row r="1" spans="1:5">
      <c r="A1" s="12" t="s">
        <v>0</v>
      </c>
      <c r="B1" s="12" t="s">
        <v>1</v>
      </c>
      <c r="C1" s="12" t="s">
        <v>2</v>
      </c>
      <c r="D1" s="12" t="s">
        <v>3</v>
      </c>
      <c r="E1" s="12" t="s">
        <v>4</v>
      </c>
    </row>
    <row r="2" spans="1:5" ht="30">
      <c r="A2" s="5" t="s">
        <v>403</v>
      </c>
      <c r="B2" s="5" t="s">
        <v>404</v>
      </c>
      <c r="C2" s="5" t="s">
        <v>405</v>
      </c>
      <c r="D2" s="5" t="s">
        <v>406</v>
      </c>
    </row>
    <row r="3" spans="1:5" ht="30">
      <c r="A3" s="5" t="s">
        <v>407</v>
      </c>
      <c r="B3" s="5" t="s">
        <v>408</v>
      </c>
      <c r="C3" s="5" t="s">
        <v>409</v>
      </c>
      <c r="D3" s="5" t="s">
        <v>410</v>
      </c>
      <c r="E3" s="5" t="s">
        <v>411</v>
      </c>
    </row>
    <row r="4" spans="1:5">
      <c r="A4" s="5" t="s">
        <v>412</v>
      </c>
      <c r="B4" s="5" t="s">
        <v>413</v>
      </c>
      <c r="C4" s="5" t="s">
        <v>414</v>
      </c>
      <c r="D4" s="5" t="s">
        <v>415</v>
      </c>
    </row>
    <row r="5" spans="1:5" ht="30">
      <c r="A5" s="5" t="s">
        <v>416</v>
      </c>
      <c r="B5" s="5" t="s">
        <v>417</v>
      </c>
      <c r="C5" s="5" t="s">
        <v>418</v>
      </c>
    </row>
    <row r="20" spans="1:9" ht="30">
      <c r="A20" s="12" t="s">
        <v>28</v>
      </c>
      <c r="B20" s="12" t="s">
        <v>29</v>
      </c>
      <c r="C20" s="12" t="s">
        <v>30</v>
      </c>
      <c r="D20" s="12" t="s">
        <v>31</v>
      </c>
      <c r="E20" s="12" t="s">
        <v>32</v>
      </c>
      <c r="F20" s="12" t="s">
        <v>33</v>
      </c>
      <c r="G20" s="12" t="s">
        <v>34</v>
      </c>
      <c r="H20" s="12" t="s">
        <v>35</v>
      </c>
      <c r="I20" s="12" t="s">
        <v>36</v>
      </c>
    </row>
    <row r="21" spans="1:9" ht="45.75">
      <c r="A21" s="5" t="s">
        <v>403</v>
      </c>
      <c r="B21" s="5" t="s">
        <v>5</v>
      </c>
      <c r="C21" s="5" t="s">
        <v>419</v>
      </c>
      <c r="D21" s="5" t="s">
        <v>420</v>
      </c>
      <c r="E21" s="5">
        <v>100000</v>
      </c>
      <c r="F21" s="5">
        <v>300</v>
      </c>
      <c r="G21" s="5">
        <v>300</v>
      </c>
      <c r="H21" s="5">
        <v>300</v>
      </c>
    </row>
    <row r="22" spans="1:9" ht="30.75">
      <c r="A22" s="5" t="s">
        <v>407</v>
      </c>
      <c r="B22" s="5" t="s">
        <v>5</v>
      </c>
      <c r="C22" s="5" t="s">
        <v>421</v>
      </c>
      <c r="D22" s="5" t="s">
        <v>422</v>
      </c>
      <c r="E22" s="5">
        <v>100000</v>
      </c>
      <c r="F22" s="5">
        <v>200</v>
      </c>
      <c r="G22" s="5">
        <v>200</v>
      </c>
      <c r="H22" s="5">
        <v>400</v>
      </c>
    </row>
    <row r="23" spans="1:9" ht="30.75">
      <c r="A23" s="5" t="s">
        <v>412</v>
      </c>
      <c r="B23" s="5" t="s">
        <v>5</v>
      </c>
      <c r="C23" s="5" t="s">
        <v>423</v>
      </c>
      <c r="E23" s="5">
        <v>20000</v>
      </c>
      <c r="F23" s="5">
        <v>100</v>
      </c>
      <c r="G23" s="5">
        <v>100</v>
      </c>
      <c r="H23" s="5">
        <v>200</v>
      </c>
    </row>
    <row r="24" spans="1:9" ht="30.75">
      <c r="A24" s="5" t="s">
        <v>416</v>
      </c>
      <c r="B24" s="5" t="s">
        <v>5</v>
      </c>
      <c r="C24" s="5" t="s">
        <v>424</v>
      </c>
      <c r="E24" s="5">
        <v>150000</v>
      </c>
      <c r="F24" s="5">
        <v>400</v>
      </c>
      <c r="G24" s="5">
        <v>300</v>
      </c>
      <c r="H24" s="5">
        <v>300</v>
      </c>
    </row>
    <row r="25" spans="1:9" ht="45">
      <c r="A25" s="5" t="s">
        <v>404</v>
      </c>
      <c r="B25" s="5" t="s">
        <v>403</v>
      </c>
      <c r="C25" s="5" t="s">
        <v>419</v>
      </c>
      <c r="D25" s="5" t="s">
        <v>420</v>
      </c>
      <c r="E25" s="5">
        <v>200000</v>
      </c>
      <c r="F25" s="5">
        <v>600</v>
      </c>
      <c r="G25" s="5">
        <v>600</v>
      </c>
      <c r="H25" s="5">
        <v>600</v>
      </c>
    </row>
    <row r="26" spans="1:9" ht="30">
      <c r="A26" s="5" t="s">
        <v>408</v>
      </c>
      <c r="B26" s="5" t="s">
        <v>407</v>
      </c>
      <c r="C26" s="5" t="s">
        <v>425</v>
      </c>
      <c r="D26" s="5" t="s">
        <v>422</v>
      </c>
      <c r="E26" s="5">
        <v>200000</v>
      </c>
      <c r="F26" s="5">
        <v>400</v>
      </c>
      <c r="G26" s="5">
        <v>400</v>
      </c>
      <c r="H26" s="5">
        <v>800</v>
      </c>
    </row>
    <row r="27" spans="1:9" ht="30">
      <c r="A27" s="5" t="s">
        <v>413</v>
      </c>
      <c r="B27" s="5" t="s">
        <v>412</v>
      </c>
      <c r="C27" s="5" t="s">
        <v>426</v>
      </c>
      <c r="E27" s="5">
        <v>50000</v>
      </c>
      <c r="F27" s="5">
        <v>200</v>
      </c>
      <c r="G27" s="5">
        <v>200</v>
      </c>
      <c r="H27" s="5">
        <v>200</v>
      </c>
    </row>
    <row r="28" spans="1:9" ht="30.75">
      <c r="A28" s="5" t="s">
        <v>417</v>
      </c>
      <c r="B28" s="5" t="s">
        <v>416</v>
      </c>
      <c r="C28" s="5" t="s">
        <v>424</v>
      </c>
      <c r="E28" s="5">
        <v>250000</v>
      </c>
      <c r="F28" s="5">
        <v>800</v>
      </c>
      <c r="G28" s="5">
        <v>600</v>
      </c>
      <c r="H28" s="5">
        <v>600</v>
      </c>
    </row>
    <row r="29" spans="1:9" ht="45">
      <c r="A29" s="5" t="s">
        <v>405</v>
      </c>
      <c r="B29" s="5" t="s">
        <v>404</v>
      </c>
      <c r="C29" s="5" t="s">
        <v>419</v>
      </c>
      <c r="D29" s="5" t="s">
        <v>420</v>
      </c>
      <c r="E29" s="5">
        <v>300000</v>
      </c>
      <c r="F29" s="5">
        <v>900</v>
      </c>
      <c r="G29" s="5">
        <v>900</v>
      </c>
      <c r="H29" s="5">
        <v>900</v>
      </c>
    </row>
    <row r="30" spans="1:9" ht="30">
      <c r="A30" s="5" t="s">
        <v>409</v>
      </c>
      <c r="B30" s="5" t="s">
        <v>408</v>
      </c>
      <c r="C30" s="5" t="s">
        <v>427</v>
      </c>
      <c r="D30" s="5" t="s">
        <v>428</v>
      </c>
      <c r="E30" s="5">
        <v>300000</v>
      </c>
      <c r="F30" s="5">
        <v>800</v>
      </c>
      <c r="G30" s="5">
        <v>800</v>
      </c>
      <c r="H30" s="5">
        <v>1600</v>
      </c>
    </row>
    <row r="31" spans="1:9" ht="30">
      <c r="A31" s="5" t="s">
        <v>414</v>
      </c>
      <c r="B31" s="5" t="s">
        <v>413</v>
      </c>
      <c r="C31" s="5" t="s">
        <v>429</v>
      </c>
      <c r="E31" s="5">
        <v>100000</v>
      </c>
      <c r="F31" s="5">
        <v>400</v>
      </c>
      <c r="G31" s="5">
        <v>400</v>
      </c>
      <c r="H31" s="5">
        <v>400</v>
      </c>
    </row>
    <row r="32" spans="1:9" ht="30.75">
      <c r="A32" s="5" t="s">
        <v>418</v>
      </c>
      <c r="B32" s="5" t="s">
        <v>417</v>
      </c>
      <c r="C32" s="5" t="s">
        <v>424</v>
      </c>
      <c r="E32" s="5">
        <v>500000</v>
      </c>
      <c r="F32" s="5">
        <v>1500</v>
      </c>
      <c r="G32" s="5">
        <v>1000</v>
      </c>
      <c r="H32" s="5">
        <v>1000</v>
      </c>
    </row>
    <row r="33" spans="1:8" ht="45">
      <c r="A33" s="5" t="s">
        <v>406</v>
      </c>
      <c r="B33" s="5" t="s">
        <v>405</v>
      </c>
      <c r="C33" s="5" t="s">
        <v>419</v>
      </c>
      <c r="D33" s="5" t="s">
        <v>420</v>
      </c>
      <c r="E33" s="5">
        <v>400000</v>
      </c>
      <c r="F33" s="5">
        <v>1200</v>
      </c>
      <c r="G33" s="5">
        <v>1200</v>
      </c>
      <c r="H33" s="5">
        <v>1200</v>
      </c>
    </row>
    <row r="34" spans="1:8" ht="45">
      <c r="A34" s="5" t="s">
        <v>410</v>
      </c>
      <c r="B34" s="5" t="s">
        <v>409</v>
      </c>
      <c r="C34" s="5" t="s">
        <v>430</v>
      </c>
      <c r="D34" s="5" t="s">
        <v>428</v>
      </c>
      <c r="E34" s="5">
        <v>400000</v>
      </c>
      <c r="F34" s="5">
        <v>1200</v>
      </c>
      <c r="G34" s="5">
        <v>1200</v>
      </c>
      <c r="H34" s="5">
        <v>2000</v>
      </c>
    </row>
    <row r="35" spans="1:8" ht="30">
      <c r="A35" s="5" t="s">
        <v>415</v>
      </c>
      <c r="B35" s="5" t="s">
        <v>414</v>
      </c>
      <c r="C35" s="5" t="s">
        <v>431</v>
      </c>
      <c r="E35" s="5">
        <v>150000</v>
      </c>
      <c r="F35" s="5">
        <v>600</v>
      </c>
      <c r="G35" s="5">
        <v>600</v>
      </c>
      <c r="H35" s="5">
        <v>600</v>
      </c>
    </row>
    <row r="36" spans="1:8" ht="45">
      <c r="A36" s="5" t="s">
        <v>411</v>
      </c>
      <c r="B36" s="5" t="s">
        <v>410</v>
      </c>
      <c r="C36" s="5" t="s">
        <v>432</v>
      </c>
      <c r="D36" s="5" t="s">
        <v>428</v>
      </c>
      <c r="E36" s="5">
        <v>500000</v>
      </c>
      <c r="F36" s="5">
        <v>1500</v>
      </c>
      <c r="G36" s="5">
        <v>1500</v>
      </c>
      <c r="H36" s="5">
        <v>2500</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B8EE-83BD-41A6-A1DC-19D83F9597B0}">
  <dimension ref="A1:I40"/>
  <sheetViews>
    <sheetView workbookViewId="0">
      <selection activeCell="E41" sqref="E41"/>
    </sheetView>
  </sheetViews>
  <sheetFormatPr defaultRowHeight="15"/>
  <cols>
    <col min="1" max="1" width="14.28515625" style="4" customWidth="1"/>
    <col min="2" max="2" width="14" style="4" customWidth="1"/>
    <col min="3" max="3" width="22.7109375" style="4" customWidth="1"/>
    <col min="4" max="4" width="23.7109375" style="4" customWidth="1"/>
    <col min="5" max="5" width="13" style="4" customWidth="1"/>
    <col min="6" max="16384" width="9.140625" style="4"/>
  </cols>
  <sheetData>
    <row r="1" spans="1:5">
      <c r="A1" s="3" t="s">
        <v>0</v>
      </c>
      <c r="B1" s="3" t="s">
        <v>1</v>
      </c>
      <c r="C1" s="3" t="s">
        <v>2</v>
      </c>
      <c r="D1" s="3" t="s">
        <v>3</v>
      </c>
      <c r="E1" s="3" t="s">
        <v>4</v>
      </c>
    </row>
    <row r="2" spans="1:5" ht="45.75">
      <c r="A2" s="4" t="s">
        <v>433</v>
      </c>
      <c r="B2" s="4" t="s">
        <v>434</v>
      </c>
      <c r="C2" s="4" t="s">
        <v>435</v>
      </c>
      <c r="D2" s="4" t="s">
        <v>436</v>
      </c>
      <c r="E2" s="4" t="s">
        <v>437</v>
      </c>
    </row>
    <row r="3" spans="1:5">
      <c r="A3" s="4" t="s">
        <v>438</v>
      </c>
      <c r="B3" s="4" t="s">
        <v>439</v>
      </c>
      <c r="C3" s="4" t="s">
        <v>440</v>
      </c>
      <c r="D3" s="4" t="s">
        <v>441</v>
      </c>
    </row>
    <row r="4" spans="1:5">
      <c r="A4" s="4" t="s">
        <v>442</v>
      </c>
      <c r="B4" s="4" t="s">
        <v>443</v>
      </c>
      <c r="C4" s="4" t="s">
        <v>444</v>
      </c>
      <c r="D4" s="4" t="s">
        <v>445</v>
      </c>
    </row>
    <row r="5" spans="1:5" ht="30.75">
      <c r="A5" s="4" t="s">
        <v>446</v>
      </c>
      <c r="B5" s="4" t="s">
        <v>447</v>
      </c>
      <c r="C5" s="4" t="s">
        <v>448</v>
      </c>
      <c r="D5" s="4" t="s">
        <v>449</v>
      </c>
    </row>
    <row r="6" spans="1:5">
      <c r="A6" s="4" t="s">
        <v>450</v>
      </c>
      <c r="D6" s="4" t="s">
        <v>451</v>
      </c>
    </row>
    <row r="7" spans="1:5">
      <c r="A7" s="4" t="s">
        <v>452</v>
      </c>
    </row>
    <row r="20" spans="1:9" ht="30.75">
      <c r="A20" s="3" t="s">
        <v>28</v>
      </c>
      <c r="B20" s="3" t="s">
        <v>29</v>
      </c>
      <c r="C20" s="3" t="s">
        <v>30</v>
      </c>
      <c r="D20" s="3" t="s">
        <v>31</v>
      </c>
      <c r="E20" s="3" t="s">
        <v>32</v>
      </c>
      <c r="F20" s="3" t="s">
        <v>33</v>
      </c>
      <c r="G20" s="3" t="s">
        <v>34</v>
      </c>
      <c r="H20" s="3" t="s">
        <v>35</v>
      </c>
      <c r="I20" s="3" t="s">
        <v>36</v>
      </c>
    </row>
    <row r="21" spans="1:9" ht="76.5">
      <c r="A21" s="4" t="s">
        <v>433</v>
      </c>
      <c r="B21" s="4" t="s">
        <v>44</v>
      </c>
      <c r="C21" s="4" t="s">
        <v>453</v>
      </c>
      <c r="D21" s="4" t="s">
        <v>454</v>
      </c>
      <c r="E21" s="4">
        <v>50000</v>
      </c>
      <c r="F21" s="4">
        <v>500</v>
      </c>
      <c r="G21" s="4">
        <v>500</v>
      </c>
      <c r="H21" s="4">
        <v>500</v>
      </c>
    </row>
    <row r="22" spans="1:9" ht="45.75">
      <c r="A22" s="4" t="s">
        <v>438</v>
      </c>
      <c r="B22" s="4" t="s">
        <v>44</v>
      </c>
      <c r="C22" s="4" t="s">
        <v>455</v>
      </c>
      <c r="D22" s="4" t="s">
        <v>454</v>
      </c>
      <c r="E22" s="4">
        <v>50000</v>
      </c>
      <c r="F22" s="4">
        <v>500</v>
      </c>
      <c r="G22" s="4">
        <v>500</v>
      </c>
      <c r="H22" s="4">
        <v>500</v>
      </c>
    </row>
    <row r="23" spans="1:9" ht="76.5">
      <c r="A23" s="4" t="s">
        <v>442</v>
      </c>
      <c r="B23" s="4" t="s">
        <v>44</v>
      </c>
      <c r="C23" s="4" t="s">
        <v>456</v>
      </c>
      <c r="D23" s="4" t="s">
        <v>454</v>
      </c>
      <c r="E23" s="4">
        <v>50000</v>
      </c>
      <c r="F23" s="4">
        <v>500</v>
      </c>
      <c r="G23" s="4">
        <v>500</v>
      </c>
      <c r="H23" s="4">
        <v>500</v>
      </c>
    </row>
    <row r="24" spans="1:9" ht="91.5">
      <c r="A24" s="4" t="s">
        <v>446</v>
      </c>
      <c r="B24" s="4" t="s">
        <v>44</v>
      </c>
      <c r="C24" s="4" t="s">
        <v>457</v>
      </c>
      <c r="D24" s="4" t="s">
        <v>454</v>
      </c>
      <c r="E24" s="4">
        <v>50000</v>
      </c>
      <c r="F24" s="4">
        <v>500</v>
      </c>
      <c r="G24" s="4">
        <v>500</v>
      </c>
      <c r="H24" s="4">
        <v>500</v>
      </c>
    </row>
    <row r="25" spans="1:9" ht="60.75">
      <c r="A25" s="4" t="s">
        <v>450</v>
      </c>
      <c r="B25" s="4" t="s">
        <v>44</v>
      </c>
      <c r="C25" s="4" t="s">
        <v>458</v>
      </c>
      <c r="D25" s="4" t="s">
        <v>454</v>
      </c>
      <c r="E25" s="4">
        <v>50000</v>
      </c>
      <c r="F25" s="4">
        <v>500</v>
      </c>
      <c r="G25" s="4">
        <v>500</v>
      </c>
      <c r="H25" s="4">
        <v>500</v>
      </c>
    </row>
    <row r="26" spans="1:9" ht="45.75">
      <c r="A26" s="4" t="s">
        <v>452</v>
      </c>
      <c r="B26" s="4" t="s">
        <v>44</v>
      </c>
      <c r="C26" s="4" t="s">
        <v>459</v>
      </c>
      <c r="D26" s="4" t="s">
        <v>454</v>
      </c>
      <c r="E26" s="4">
        <v>50000</v>
      </c>
      <c r="F26" s="4">
        <v>500</v>
      </c>
      <c r="G26" s="4">
        <v>500</v>
      </c>
      <c r="H26" s="4">
        <v>500</v>
      </c>
    </row>
    <row r="27" spans="1:9" ht="60.75">
      <c r="A27" s="4" t="s">
        <v>434</v>
      </c>
      <c r="B27" s="4" t="s">
        <v>460</v>
      </c>
      <c r="C27" s="4" t="s">
        <v>461</v>
      </c>
      <c r="D27" s="4" t="s">
        <v>462</v>
      </c>
      <c r="E27" s="4">
        <v>100000</v>
      </c>
      <c r="F27" s="4">
        <v>200</v>
      </c>
      <c r="G27" s="4">
        <v>200</v>
      </c>
      <c r="H27" s="4">
        <v>1000</v>
      </c>
    </row>
    <row r="28" spans="1:9" ht="76.5">
      <c r="A28" s="4" t="s">
        <v>439</v>
      </c>
      <c r="B28" s="4" t="s">
        <v>463</v>
      </c>
      <c r="C28" s="4" t="s">
        <v>464</v>
      </c>
      <c r="D28" s="4" t="s">
        <v>465</v>
      </c>
      <c r="E28" s="4">
        <v>500000</v>
      </c>
      <c r="F28" s="4">
        <v>1000</v>
      </c>
      <c r="G28" s="4">
        <v>5000</v>
      </c>
      <c r="H28" s="4">
        <v>15000</v>
      </c>
    </row>
    <row r="29" spans="1:9" ht="45.75">
      <c r="A29" s="4" t="s">
        <v>443</v>
      </c>
      <c r="B29" s="4" t="s">
        <v>460</v>
      </c>
      <c r="C29" s="4" t="s">
        <v>466</v>
      </c>
      <c r="E29" s="4">
        <v>20000</v>
      </c>
      <c r="F29" s="4">
        <v>200</v>
      </c>
      <c r="G29" s="4">
        <v>500</v>
      </c>
      <c r="H29" s="4">
        <v>500</v>
      </c>
    </row>
    <row r="30" spans="1:9" ht="45.75">
      <c r="A30" s="4" t="s">
        <v>447</v>
      </c>
      <c r="B30" s="4" t="s">
        <v>460</v>
      </c>
      <c r="C30" s="4" t="s">
        <v>467</v>
      </c>
      <c r="E30" s="4">
        <v>20000</v>
      </c>
      <c r="F30" s="4">
        <v>500</v>
      </c>
      <c r="G30" s="4">
        <v>200</v>
      </c>
      <c r="H30" s="4">
        <v>500</v>
      </c>
    </row>
    <row r="31" spans="1:9" ht="45.75">
      <c r="A31" s="4" t="s">
        <v>435</v>
      </c>
      <c r="B31" s="4" t="s">
        <v>434</v>
      </c>
      <c r="C31" s="4" t="s">
        <v>468</v>
      </c>
      <c r="D31" s="4" t="s">
        <v>469</v>
      </c>
      <c r="E31" s="4">
        <v>50000</v>
      </c>
      <c r="F31" s="4">
        <v>500</v>
      </c>
      <c r="G31" s="4">
        <v>500</v>
      </c>
      <c r="H31" s="4">
        <v>500</v>
      </c>
    </row>
    <row r="32" spans="1:9" ht="42" customHeight="1">
      <c r="A32" s="4" t="s">
        <v>440</v>
      </c>
      <c r="B32" s="4" t="s">
        <v>434</v>
      </c>
      <c r="C32" s="4" t="s">
        <v>470</v>
      </c>
      <c r="D32" s="4" t="s">
        <v>471</v>
      </c>
      <c r="E32" s="4">
        <v>50000</v>
      </c>
      <c r="F32" s="4">
        <v>500</v>
      </c>
      <c r="G32" s="4">
        <v>500</v>
      </c>
      <c r="H32" s="4">
        <v>500</v>
      </c>
    </row>
    <row r="33" spans="1:8" ht="76.5">
      <c r="A33" s="4" t="s">
        <v>444</v>
      </c>
      <c r="B33" s="4" t="s">
        <v>434</v>
      </c>
      <c r="C33" s="4" t="s">
        <v>472</v>
      </c>
      <c r="D33" s="4" t="s">
        <v>469</v>
      </c>
      <c r="E33" s="4">
        <v>50000</v>
      </c>
      <c r="F33" s="4">
        <v>500</v>
      </c>
      <c r="G33" s="4">
        <v>500</v>
      </c>
      <c r="H33" s="4">
        <v>500</v>
      </c>
    </row>
    <row r="34" spans="1:8" ht="60.75">
      <c r="A34" s="4" t="s">
        <v>448</v>
      </c>
      <c r="B34" s="4" t="s">
        <v>434</v>
      </c>
      <c r="C34" s="4" t="s">
        <v>473</v>
      </c>
      <c r="E34" s="4">
        <v>100000</v>
      </c>
      <c r="F34" s="4">
        <v>100</v>
      </c>
      <c r="G34" s="4">
        <v>200</v>
      </c>
      <c r="H34" s="4">
        <v>500</v>
      </c>
    </row>
    <row r="35" spans="1:8" ht="106.5">
      <c r="A35" s="4" t="s">
        <v>436</v>
      </c>
      <c r="B35" s="4" t="s">
        <v>474</v>
      </c>
      <c r="C35" s="4" t="s">
        <v>475</v>
      </c>
      <c r="D35" s="4" t="s">
        <v>476</v>
      </c>
      <c r="E35" s="4">
        <v>250000</v>
      </c>
      <c r="F35" s="4">
        <v>500</v>
      </c>
      <c r="G35" s="4">
        <v>2500</v>
      </c>
      <c r="H35" s="4">
        <v>7500</v>
      </c>
    </row>
    <row r="36" spans="1:8" ht="60.75">
      <c r="A36" s="4" t="s">
        <v>441</v>
      </c>
      <c r="B36" s="4" t="s">
        <v>440</v>
      </c>
      <c r="C36" s="4" t="s">
        <v>477</v>
      </c>
      <c r="D36" s="4" t="s">
        <v>478</v>
      </c>
      <c r="E36" s="4">
        <v>100000</v>
      </c>
      <c r="F36" s="4">
        <v>1000</v>
      </c>
      <c r="G36" s="4">
        <v>1000</v>
      </c>
      <c r="H36" s="4">
        <v>1000</v>
      </c>
    </row>
    <row r="37" spans="1:8" ht="60.75">
      <c r="A37" s="4" t="s">
        <v>445</v>
      </c>
      <c r="B37" s="4" t="s">
        <v>479</v>
      </c>
      <c r="C37" s="4" t="s">
        <v>480</v>
      </c>
      <c r="D37" s="4" t="s">
        <v>478</v>
      </c>
      <c r="E37" s="4">
        <v>100000</v>
      </c>
      <c r="F37" s="4">
        <v>1000</v>
      </c>
      <c r="G37" s="4">
        <v>1000</v>
      </c>
      <c r="H37" s="4">
        <v>1000</v>
      </c>
    </row>
    <row r="38" spans="1:8" ht="45.75">
      <c r="A38" s="4" t="s">
        <v>449</v>
      </c>
      <c r="B38" s="4" t="s">
        <v>434</v>
      </c>
      <c r="C38" s="4" t="s">
        <v>481</v>
      </c>
      <c r="D38" s="4" t="s">
        <v>478</v>
      </c>
      <c r="E38" s="4">
        <v>100000</v>
      </c>
      <c r="F38" s="4">
        <v>1000</v>
      </c>
      <c r="G38" s="4">
        <v>1000</v>
      </c>
      <c r="H38" s="4">
        <v>1000</v>
      </c>
    </row>
    <row r="39" spans="1:8" ht="60.75">
      <c r="A39" s="4" t="s">
        <v>451</v>
      </c>
      <c r="B39" s="4" t="s">
        <v>435</v>
      </c>
      <c r="C39" s="4" t="s">
        <v>482</v>
      </c>
      <c r="D39" s="4" t="s">
        <v>478</v>
      </c>
      <c r="E39" s="4">
        <v>100000</v>
      </c>
      <c r="F39" s="4">
        <v>1000</v>
      </c>
      <c r="G39" s="4">
        <v>1000</v>
      </c>
      <c r="H39" s="4">
        <v>1000</v>
      </c>
    </row>
    <row r="40" spans="1:8" ht="60.75">
      <c r="A40" s="4" t="s">
        <v>437</v>
      </c>
      <c r="B40" s="4" t="s">
        <v>436</v>
      </c>
      <c r="C40" s="4" t="s">
        <v>483</v>
      </c>
      <c r="E40" s="4">
        <v>250000</v>
      </c>
      <c r="F40" s="4">
        <v>1000</v>
      </c>
      <c r="G40" s="4">
        <v>1000</v>
      </c>
      <c r="H40" s="4">
        <v>1000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82"/>
  <sheetViews>
    <sheetView workbookViewId="0">
      <pane ySplit="2" topLeftCell="I63" activePane="bottomLeft" state="frozen"/>
      <selection pane="bottomLeft" activeCell="J67" sqref="J67:M67"/>
    </sheetView>
  </sheetViews>
  <sheetFormatPr defaultColWidth="24.28515625" defaultRowHeight="15"/>
  <cols>
    <col min="1" max="2" width="18" style="11" bestFit="1" customWidth="1"/>
    <col min="3" max="3" width="24" style="11" bestFit="1" customWidth="1"/>
    <col min="4" max="4" width="40.85546875" style="11" customWidth="1"/>
    <col min="5" max="5" width="9.140625" style="11" bestFit="1" customWidth="1"/>
    <col min="6" max="6" width="9.5703125" style="11" bestFit="1" customWidth="1"/>
    <col min="7" max="7" width="7.140625" style="11" bestFit="1" customWidth="1"/>
    <col min="8" max="8" width="10.7109375" style="11" bestFit="1" customWidth="1"/>
    <col min="9" max="9" width="11.5703125" style="11" bestFit="1" customWidth="1"/>
    <col min="10" max="13" width="24.42578125" style="11" bestFit="1" customWidth="1"/>
    <col min="14" max="16384" width="24.28515625" style="11"/>
  </cols>
  <sheetData>
    <row r="1" spans="1:13" s="10" customFormat="1">
      <c r="E1" s="15" t="s">
        <v>484</v>
      </c>
      <c r="F1" s="15"/>
      <c r="G1" s="15"/>
      <c r="H1" s="15"/>
      <c r="I1" s="14"/>
      <c r="J1" s="15" t="s">
        <v>485</v>
      </c>
      <c r="K1" s="15"/>
      <c r="L1" s="15"/>
      <c r="M1" s="15"/>
    </row>
    <row r="2" spans="1:13" s="10" customFormat="1" ht="30">
      <c r="A2" s="10" t="s">
        <v>28</v>
      </c>
      <c r="B2" s="10" t="s">
        <v>29</v>
      </c>
      <c r="C2" s="10" t="s">
        <v>30</v>
      </c>
      <c r="D2" s="10" t="s">
        <v>31</v>
      </c>
      <c r="E2" s="10" t="s">
        <v>32</v>
      </c>
      <c r="F2" s="10" t="s">
        <v>33</v>
      </c>
      <c r="G2" s="10" t="s">
        <v>34</v>
      </c>
      <c r="H2" s="10" t="s">
        <v>35</v>
      </c>
      <c r="I2" s="10" t="s">
        <v>486</v>
      </c>
      <c r="J2" s="10" t="s">
        <v>32</v>
      </c>
      <c r="K2" s="10" t="s">
        <v>33</v>
      </c>
      <c r="L2" s="10" t="s">
        <v>34</v>
      </c>
      <c r="M2" s="10" t="s">
        <v>35</v>
      </c>
    </row>
    <row r="3" spans="1:13" ht="90">
      <c r="A3" s="11" t="s">
        <v>7</v>
      </c>
      <c r="B3" s="11" t="s">
        <v>487</v>
      </c>
      <c r="C3" s="11" t="s">
        <v>488</v>
      </c>
      <c r="E3" s="11">
        <v>30000</v>
      </c>
      <c r="F3" s="11">
        <v>3000</v>
      </c>
      <c r="G3" s="11">
        <v>3000</v>
      </c>
      <c r="H3" s="11">
        <v>1500</v>
      </c>
      <c r="J3" s="11">
        <v>-5000</v>
      </c>
      <c r="K3" s="11">
        <v>-200</v>
      </c>
      <c r="L3" s="11">
        <v>-200</v>
      </c>
      <c r="M3" s="11">
        <v>300</v>
      </c>
    </row>
    <row r="4" spans="1:13" ht="90">
      <c r="A4" s="11" t="s">
        <v>8</v>
      </c>
      <c r="B4" s="11" t="s">
        <v>489</v>
      </c>
      <c r="C4" s="11" t="s">
        <v>490</v>
      </c>
      <c r="D4" s="11" t="s">
        <v>491</v>
      </c>
      <c r="E4" s="11">
        <v>50000</v>
      </c>
      <c r="F4" s="11">
        <v>4000</v>
      </c>
      <c r="G4" s="11">
        <v>4000</v>
      </c>
      <c r="H4" s="11">
        <v>2500</v>
      </c>
      <c r="J4" s="11">
        <v>-10000</v>
      </c>
      <c r="K4" s="11">
        <v>-300</v>
      </c>
      <c r="L4" s="11">
        <v>-300</v>
      </c>
      <c r="M4" s="11">
        <v>500</v>
      </c>
    </row>
    <row r="5" spans="1:13" ht="45">
      <c r="A5" s="11" t="s">
        <v>492</v>
      </c>
      <c r="B5" s="11" t="s">
        <v>9</v>
      </c>
      <c r="C5" s="11" t="s">
        <v>493</v>
      </c>
      <c r="D5" s="11" t="s">
        <v>491</v>
      </c>
      <c r="E5" s="11">
        <v>75000</v>
      </c>
      <c r="F5" s="11">
        <v>3000</v>
      </c>
      <c r="G5" s="11">
        <v>3000</v>
      </c>
      <c r="H5" s="11">
        <v>2000</v>
      </c>
      <c r="J5" s="11">
        <v>-12000</v>
      </c>
      <c r="K5" s="11">
        <v>-200</v>
      </c>
      <c r="L5" s="11">
        <v>-200</v>
      </c>
      <c r="M5" s="11">
        <v>600</v>
      </c>
    </row>
    <row r="6" spans="1:13" ht="60">
      <c r="A6" s="11" t="s">
        <v>494</v>
      </c>
      <c r="B6" s="5" t="s">
        <v>96</v>
      </c>
      <c r="C6" s="11" t="s">
        <v>495</v>
      </c>
      <c r="E6" s="11">
        <v>10000</v>
      </c>
      <c r="F6" s="11">
        <v>500</v>
      </c>
      <c r="G6" s="11">
        <v>500</v>
      </c>
      <c r="H6" s="11">
        <v>100</v>
      </c>
      <c r="J6" s="11">
        <v>1000</v>
      </c>
      <c r="K6" s="11">
        <v>200</v>
      </c>
      <c r="L6" s="11">
        <v>-100</v>
      </c>
      <c r="M6" s="11">
        <v>-100</v>
      </c>
    </row>
    <row r="7" spans="1:13" ht="60">
      <c r="A7" s="11" t="s">
        <v>496</v>
      </c>
      <c r="B7" s="11" t="s">
        <v>497</v>
      </c>
      <c r="C7" s="11" t="s">
        <v>498</v>
      </c>
      <c r="E7" s="11">
        <v>20000</v>
      </c>
      <c r="F7" s="11">
        <v>1000</v>
      </c>
      <c r="G7" s="11">
        <v>1500</v>
      </c>
      <c r="H7" s="11">
        <v>200</v>
      </c>
      <c r="J7" s="11">
        <v>4000</v>
      </c>
      <c r="K7" s="11">
        <v>400</v>
      </c>
      <c r="L7" s="11">
        <v>-300</v>
      </c>
      <c r="M7" s="11">
        <v>-10</v>
      </c>
    </row>
    <row r="8" spans="1:13" ht="30">
      <c r="A8" s="11" t="s">
        <v>499</v>
      </c>
      <c r="B8" s="11" t="s">
        <v>500</v>
      </c>
      <c r="C8" s="11" t="s">
        <v>501</v>
      </c>
      <c r="E8" s="11">
        <v>10000</v>
      </c>
      <c r="F8" s="11">
        <v>500</v>
      </c>
      <c r="G8" s="11">
        <v>500</v>
      </c>
      <c r="H8" s="11">
        <v>100</v>
      </c>
      <c r="J8" s="11">
        <v>1000</v>
      </c>
      <c r="K8" s="11">
        <v>-100</v>
      </c>
      <c r="L8" s="11">
        <v>200</v>
      </c>
      <c r="M8" s="11">
        <v>-100</v>
      </c>
    </row>
    <row r="9" spans="1:13" ht="60">
      <c r="A9" s="11" t="s">
        <v>102</v>
      </c>
      <c r="B9" s="5" t="s">
        <v>111</v>
      </c>
      <c r="C9" s="11" t="s">
        <v>502</v>
      </c>
      <c r="E9" s="11">
        <v>30000</v>
      </c>
      <c r="F9" s="11">
        <v>1500</v>
      </c>
      <c r="G9" s="11">
        <v>1500</v>
      </c>
      <c r="H9" s="11">
        <v>500</v>
      </c>
      <c r="J9" s="11">
        <v>-2000</v>
      </c>
      <c r="K9" s="11">
        <v>300</v>
      </c>
      <c r="L9" s="11">
        <v>300</v>
      </c>
      <c r="M9" s="11">
        <v>-200</v>
      </c>
    </row>
    <row r="10" spans="1:13" ht="45">
      <c r="A10" s="11" t="s">
        <v>99</v>
      </c>
      <c r="B10" s="5" t="s">
        <v>114</v>
      </c>
      <c r="C10" s="11" t="s">
        <v>503</v>
      </c>
      <c r="E10" s="11">
        <v>50000</v>
      </c>
      <c r="F10" s="11">
        <v>2000</v>
      </c>
      <c r="G10" s="11">
        <v>2000</v>
      </c>
      <c r="H10" s="11">
        <v>700</v>
      </c>
      <c r="J10" s="11">
        <v>-5000</v>
      </c>
      <c r="K10" s="11">
        <v>500</v>
      </c>
      <c r="L10" s="11">
        <v>500</v>
      </c>
      <c r="M10" s="11">
        <v>-200</v>
      </c>
    </row>
    <row r="11" spans="1:13" ht="45">
      <c r="A11" s="11" t="s">
        <v>139</v>
      </c>
      <c r="B11" s="5"/>
      <c r="C11" s="11" t="s">
        <v>504</v>
      </c>
      <c r="D11" s="11" t="s">
        <v>505</v>
      </c>
      <c r="E11" s="11">
        <v>30000</v>
      </c>
      <c r="F11" s="11">
        <v>1000</v>
      </c>
      <c r="G11" s="11">
        <v>1000</v>
      </c>
      <c r="H11" s="11">
        <v>250</v>
      </c>
      <c r="J11" s="11">
        <v>-2000</v>
      </c>
      <c r="K11" s="11">
        <v>400</v>
      </c>
      <c r="L11" s="11">
        <v>200</v>
      </c>
      <c r="M11" s="11">
        <v>-200</v>
      </c>
    </row>
    <row r="12" spans="1:13" ht="45">
      <c r="A12" s="11" t="s">
        <v>145</v>
      </c>
      <c r="B12" s="5"/>
      <c r="C12" s="11" t="s">
        <v>506</v>
      </c>
      <c r="D12" s="11" t="s">
        <v>505</v>
      </c>
      <c r="E12" s="11">
        <v>150000</v>
      </c>
      <c r="F12" s="11">
        <v>1500</v>
      </c>
      <c r="G12" s="11">
        <v>1500</v>
      </c>
      <c r="H12" s="11">
        <v>500</v>
      </c>
      <c r="J12" s="11">
        <v>-5000</v>
      </c>
      <c r="K12" s="11">
        <v>600</v>
      </c>
      <c r="L12" s="11">
        <v>300</v>
      </c>
      <c r="M12" s="11">
        <v>-300</v>
      </c>
    </row>
    <row r="13" spans="1:13" ht="45">
      <c r="A13" s="11" t="s">
        <v>146</v>
      </c>
      <c r="B13" s="5"/>
      <c r="C13" s="11" t="s">
        <v>507</v>
      </c>
      <c r="D13" s="11" t="s">
        <v>505</v>
      </c>
      <c r="E13" s="11">
        <v>250000</v>
      </c>
      <c r="F13" s="11">
        <v>2500</v>
      </c>
      <c r="G13" s="11">
        <v>2500</v>
      </c>
      <c r="H13" s="11">
        <v>1000</v>
      </c>
      <c r="J13" s="11">
        <v>-10000</v>
      </c>
      <c r="K13" s="11">
        <v>800</v>
      </c>
      <c r="L13" s="11">
        <v>400</v>
      </c>
      <c r="M13" s="11">
        <v>-400</v>
      </c>
    </row>
    <row r="14" spans="1:13" ht="30">
      <c r="A14" s="11" t="s">
        <v>508</v>
      </c>
      <c r="B14" s="5" t="s">
        <v>123</v>
      </c>
      <c r="C14" s="11" t="s">
        <v>509</v>
      </c>
      <c r="E14" s="11">
        <v>10000</v>
      </c>
      <c r="F14" s="11">
        <v>100</v>
      </c>
      <c r="G14" s="11">
        <v>200</v>
      </c>
      <c r="H14" s="11">
        <v>200</v>
      </c>
      <c r="J14" s="11">
        <v>1000</v>
      </c>
      <c r="K14" s="11">
        <v>-50</v>
      </c>
      <c r="L14" s="11">
        <v>-100</v>
      </c>
      <c r="M14" s="11">
        <v>200</v>
      </c>
    </row>
    <row r="15" spans="1:13" ht="45">
      <c r="A15" s="11" t="s">
        <v>510</v>
      </c>
      <c r="B15" s="5" t="s">
        <v>125</v>
      </c>
      <c r="C15" s="11" t="s">
        <v>511</v>
      </c>
      <c r="E15" s="11">
        <v>15000</v>
      </c>
      <c r="F15" s="11">
        <v>150</v>
      </c>
      <c r="G15" s="11">
        <v>250</v>
      </c>
      <c r="H15" s="11">
        <v>200</v>
      </c>
      <c r="J15" s="11">
        <v>2000</v>
      </c>
      <c r="K15" s="11">
        <v>-100</v>
      </c>
      <c r="L15" s="11">
        <v>-300</v>
      </c>
      <c r="M15" s="11">
        <v>300</v>
      </c>
    </row>
    <row r="16" spans="1:13" ht="60">
      <c r="A16" s="11" t="s">
        <v>512</v>
      </c>
      <c r="B16" s="5" t="s">
        <v>129</v>
      </c>
      <c r="C16" s="11" t="s">
        <v>513</v>
      </c>
      <c r="D16" s="11" t="s">
        <v>514</v>
      </c>
      <c r="E16" s="11">
        <v>25000</v>
      </c>
      <c r="F16" s="11">
        <v>200</v>
      </c>
      <c r="G16" s="11">
        <v>300</v>
      </c>
      <c r="H16" s="11">
        <v>300</v>
      </c>
      <c r="J16" s="11">
        <v>5000</v>
      </c>
      <c r="K16" s="11">
        <v>-100</v>
      </c>
      <c r="L16" s="11">
        <v>-200</v>
      </c>
      <c r="M16" s="11">
        <v>300</v>
      </c>
    </row>
    <row r="17" spans="1:13" ht="30">
      <c r="A17" s="11" t="s">
        <v>515</v>
      </c>
      <c r="C17" s="11" t="s">
        <v>516</v>
      </c>
      <c r="E17" s="11">
        <v>10000</v>
      </c>
      <c r="F17" s="11">
        <v>400</v>
      </c>
      <c r="G17" s="11">
        <v>200</v>
      </c>
      <c r="H17" s="11">
        <v>100</v>
      </c>
      <c r="J17" s="11">
        <v>2500</v>
      </c>
      <c r="K17" s="11">
        <v>-200</v>
      </c>
      <c r="L17" s="11">
        <v>200</v>
      </c>
      <c r="M17" s="11">
        <v>100</v>
      </c>
    </row>
    <row r="18" spans="1:13" ht="30">
      <c r="A18" s="11" t="s">
        <v>517</v>
      </c>
      <c r="B18" s="11" t="s">
        <v>515</v>
      </c>
      <c r="C18" s="11" t="s">
        <v>518</v>
      </c>
      <c r="E18" s="11">
        <v>15000</v>
      </c>
      <c r="F18" s="11">
        <v>300</v>
      </c>
      <c r="G18" s="11">
        <v>100</v>
      </c>
      <c r="H18" s="11">
        <v>150</v>
      </c>
      <c r="J18" s="11">
        <v>5000</v>
      </c>
      <c r="K18" s="11">
        <v>0</v>
      </c>
      <c r="L18" s="11">
        <v>200</v>
      </c>
      <c r="M18" s="11">
        <v>200</v>
      </c>
    </row>
    <row r="19" spans="1:13" ht="30">
      <c r="A19" s="11" t="s">
        <v>519</v>
      </c>
      <c r="B19" s="11" t="s">
        <v>519</v>
      </c>
      <c r="C19" s="11" t="s">
        <v>520</v>
      </c>
      <c r="E19" s="11">
        <v>20000</v>
      </c>
      <c r="F19" s="11">
        <v>300</v>
      </c>
      <c r="G19" s="11">
        <v>100</v>
      </c>
      <c r="H19" s="11">
        <v>150</v>
      </c>
      <c r="J19" s="11">
        <v>7500</v>
      </c>
      <c r="K19" s="11">
        <v>0</v>
      </c>
      <c r="L19" s="11">
        <v>200</v>
      </c>
      <c r="M19" s="11">
        <v>200</v>
      </c>
    </row>
    <row r="20" spans="1:13" ht="30">
      <c r="A20" s="11" t="s">
        <v>521</v>
      </c>
      <c r="B20" s="11" t="s">
        <v>521</v>
      </c>
      <c r="C20" s="11" t="s">
        <v>522</v>
      </c>
      <c r="E20" s="11">
        <v>25000</v>
      </c>
      <c r="F20" s="11">
        <v>400</v>
      </c>
      <c r="G20" s="11">
        <v>200</v>
      </c>
      <c r="H20" s="11">
        <v>200</v>
      </c>
      <c r="J20" s="11">
        <v>10000</v>
      </c>
      <c r="K20" s="11">
        <v>-100</v>
      </c>
      <c r="L20" s="11">
        <v>300</v>
      </c>
      <c r="M20" s="11">
        <v>500</v>
      </c>
    </row>
    <row r="21" spans="1:13" ht="30">
      <c r="A21" s="11" t="s">
        <v>523</v>
      </c>
      <c r="B21" s="4" t="s">
        <v>180</v>
      </c>
      <c r="C21" s="11" t="s">
        <v>524</v>
      </c>
      <c r="E21" s="11">
        <v>30000</v>
      </c>
      <c r="F21" s="11">
        <v>500</v>
      </c>
      <c r="G21" s="11">
        <v>300</v>
      </c>
      <c r="H21" s="11">
        <v>400</v>
      </c>
      <c r="J21" s="11">
        <v>-5000</v>
      </c>
      <c r="K21" s="11">
        <v>-50</v>
      </c>
      <c r="L21" s="11">
        <v>400</v>
      </c>
      <c r="M21" s="11">
        <v>400</v>
      </c>
    </row>
    <row r="22" spans="1:13" ht="30">
      <c r="A22" s="11" t="s">
        <v>525</v>
      </c>
      <c r="B22" s="11" t="s">
        <v>525</v>
      </c>
      <c r="C22" s="11" t="s">
        <v>526</v>
      </c>
      <c r="E22" s="11">
        <v>30000</v>
      </c>
      <c r="F22" s="11">
        <v>600</v>
      </c>
      <c r="G22" s="11">
        <v>600</v>
      </c>
      <c r="H22" s="11">
        <v>300</v>
      </c>
      <c r="J22" s="11">
        <v>15000</v>
      </c>
      <c r="K22" s="11">
        <v>-100</v>
      </c>
      <c r="L22" s="11">
        <v>500</v>
      </c>
      <c r="M22" s="11">
        <v>500</v>
      </c>
    </row>
    <row r="23" spans="1:13" ht="30">
      <c r="A23" s="11" t="s">
        <v>527</v>
      </c>
      <c r="B23" s="11" t="s">
        <v>170</v>
      </c>
      <c r="C23" s="11" t="s">
        <v>528</v>
      </c>
      <c r="D23" s="11" t="s">
        <v>529</v>
      </c>
      <c r="E23" s="11">
        <v>100000</v>
      </c>
      <c r="F23" s="11">
        <v>750</v>
      </c>
      <c r="G23" s="11">
        <v>750</v>
      </c>
      <c r="H23" s="11">
        <v>500</v>
      </c>
      <c r="J23" s="11">
        <v>2500</v>
      </c>
      <c r="K23" s="11">
        <v>-100</v>
      </c>
      <c r="L23" s="11">
        <v>-100</v>
      </c>
      <c r="M23" s="11">
        <v>200</v>
      </c>
    </row>
    <row r="24" spans="1:13" ht="45">
      <c r="A24" s="11" t="s">
        <v>530</v>
      </c>
      <c r="B24" s="11" t="s">
        <v>531</v>
      </c>
      <c r="C24" s="11" t="s">
        <v>532</v>
      </c>
      <c r="E24" s="11">
        <v>20000</v>
      </c>
      <c r="F24" s="11">
        <v>300</v>
      </c>
      <c r="G24" s="11">
        <v>300</v>
      </c>
      <c r="H24" s="11">
        <v>500</v>
      </c>
      <c r="J24" s="11">
        <v>5000</v>
      </c>
      <c r="K24" s="11">
        <v>-100</v>
      </c>
      <c r="L24" s="11">
        <v>-100</v>
      </c>
      <c r="M24" s="11">
        <v>100</v>
      </c>
    </row>
    <row r="25" spans="1:13" ht="30">
      <c r="A25" s="11" t="s">
        <v>203</v>
      </c>
      <c r="B25" s="11" t="s">
        <v>533</v>
      </c>
      <c r="C25" s="11" t="s">
        <v>534</v>
      </c>
      <c r="E25" s="11">
        <v>40000</v>
      </c>
      <c r="F25" s="11">
        <v>500</v>
      </c>
      <c r="G25" s="11">
        <v>500</v>
      </c>
      <c r="H25" s="11">
        <v>750</v>
      </c>
      <c r="J25" s="11">
        <v>10000</v>
      </c>
      <c r="K25" s="11">
        <v>200</v>
      </c>
      <c r="L25" s="11">
        <v>-200</v>
      </c>
      <c r="M25" s="11">
        <v>-100</v>
      </c>
    </row>
    <row r="26" spans="1:13" ht="30">
      <c r="A26" s="11" t="s">
        <v>535</v>
      </c>
      <c r="B26" s="5" t="s">
        <v>14</v>
      </c>
      <c r="C26" s="11" t="s">
        <v>536</v>
      </c>
      <c r="D26" s="11" t="s">
        <v>537</v>
      </c>
      <c r="E26" s="11">
        <v>15000</v>
      </c>
      <c r="F26" s="11">
        <v>500</v>
      </c>
      <c r="G26" s="11">
        <v>500</v>
      </c>
      <c r="H26" s="11">
        <v>200</v>
      </c>
      <c r="J26" s="11">
        <v>0</v>
      </c>
      <c r="K26" s="11">
        <v>-200</v>
      </c>
      <c r="L26" s="11">
        <v>-200</v>
      </c>
      <c r="M26" s="11">
        <v>-100</v>
      </c>
    </row>
    <row r="27" spans="1:13" ht="45">
      <c r="A27" s="11" t="s">
        <v>367</v>
      </c>
      <c r="B27" s="11" t="s">
        <v>366</v>
      </c>
      <c r="C27" s="11" t="s">
        <v>538</v>
      </c>
      <c r="E27" s="11">
        <v>5000</v>
      </c>
      <c r="F27" s="11">
        <v>300</v>
      </c>
      <c r="G27" s="11">
        <v>500</v>
      </c>
      <c r="H27" s="11">
        <v>100</v>
      </c>
      <c r="J27" s="11">
        <v>0</v>
      </c>
      <c r="K27" s="11">
        <v>0</v>
      </c>
      <c r="L27" s="11">
        <v>0</v>
      </c>
      <c r="M27" s="11">
        <v>0</v>
      </c>
    </row>
    <row r="28" spans="1:13" ht="30">
      <c r="A28" s="11" t="s">
        <v>368</v>
      </c>
      <c r="B28" s="11" t="s">
        <v>309</v>
      </c>
      <c r="C28" s="11" t="s">
        <v>539</v>
      </c>
      <c r="E28" s="11">
        <v>1000000</v>
      </c>
      <c r="F28" s="11">
        <v>2000</v>
      </c>
      <c r="G28" s="11">
        <v>5000</v>
      </c>
      <c r="H28" s="11">
        <v>5000</v>
      </c>
      <c r="J28" s="11">
        <v>-5000</v>
      </c>
      <c r="K28" s="11">
        <v>-100</v>
      </c>
      <c r="L28" s="11">
        <v>-1000</v>
      </c>
      <c r="M28" s="11">
        <v>-200</v>
      </c>
    </row>
    <row r="29" spans="1:13" ht="45">
      <c r="A29" s="11" t="s">
        <v>540</v>
      </c>
      <c r="B29" s="11" t="s">
        <v>368</v>
      </c>
      <c r="C29" s="11" t="s">
        <v>541</v>
      </c>
      <c r="E29" s="11">
        <v>1500000</v>
      </c>
      <c r="F29" s="11">
        <v>3000</v>
      </c>
      <c r="G29" s="11">
        <v>7500</v>
      </c>
      <c r="H29" s="11">
        <v>5000</v>
      </c>
      <c r="J29" s="11">
        <v>-10000</v>
      </c>
      <c r="K29" s="11">
        <v>-200</v>
      </c>
      <c r="L29" s="11">
        <v>-2000</v>
      </c>
      <c r="M29" s="11">
        <v>-400</v>
      </c>
    </row>
    <row r="30" spans="1:13" ht="30">
      <c r="A30" s="11" t="s">
        <v>542</v>
      </c>
      <c r="B30" s="5" t="s">
        <v>17</v>
      </c>
      <c r="C30" s="11" t="s">
        <v>543</v>
      </c>
      <c r="D30" s="11" t="s">
        <v>544</v>
      </c>
      <c r="E30" s="11">
        <v>10000</v>
      </c>
      <c r="F30" s="11">
        <v>200</v>
      </c>
      <c r="G30" s="11">
        <v>200</v>
      </c>
      <c r="H30" s="11">
        <v>100</v>
      </c>
      <c r="J30" s="11">
        <v>1000</v>
      </c>
      <c r="K30" s="11">
        <v>0</v>
      </c>
      <c r="L30" s="11">
        <v>100</v>
      </c>
      <c r="M30" s="11">
        <v>0</v>
      </c>
    </row>
    <row r="31" spans="1:13" ht="45">
      <c r="A31" s="11" t="s">
        <v>545</v>
      </c>
      <c r="B31" s="11" t="s">
        <v>219</v>
      </c>
      <c r="C31" s="11" t="s">
        <v>546</v>
      </c>
      <c r="E31" s="11">
        <v>20000</v>
      </c>
      <c r="F31" s="11">
        <v>500</v>
      </c>
      <c r="G31" s="11">
        <v>300</v>
      </c>
      <c r="H31" s="11">
        <v>500</v>
      </c>
      <c r="J31" s="11">
        <v>2000</v>
      </c>
      <c r="K31" s="11">
        <v>-100</v>
      </c>
      <c r="L31" s="11">
        <v>200</v>
      </c>
      <c r="M31" s="11">
        <v>100</v>
      </c>
    </row>
    <row r="32" spans="1:13" ht="45">
      <c r="A32" s="11" t="s">
        <v>215</v>
      </c>
      <c r="B32" s="11" t="s">
        <v>223</v>
      </c>
      <c r="C32" s="11" t="s">
        <v>547</v>
      </c>
      <c r="E32" s="11">
        <v>30000</v>
      </c>
      <c r="F32" s="11">
        <v>600</v>
      </c>
      <c r="G32" s="11">
        <v>600</v>
      </c>
      <c r="H32" s="11">
        <v>500</v>
      </c>
      <c r="J32" s="11">
        <v>-5000</v>
      </c>
      <c r="K32" s="11">
        <v>-100</v>
      </c>
      <c r="L32" s="11">
        <v>-100</v>
      </c>
      <c r="M32" s="11">
        <v>-100</v>
      </c>
    </row>
    <row r="33" spans="1:13" ht="60">
      <c r="A33" s="11" t="s">
        <v>217</v>
      </c>
      <c r="B33" s="5" t="s">
        <v>226</v>
      </c>
      <c r="C33" s="11" t="s">
        <v>548</v>
      </c>
      <c r="E33" s="11">
        <v>20000</v>
      </c>
      <c r="F33" s="11">
        <v>300</v>
      </c>
      <c r="G33" s="11">
        <v>300</v>
      </c>
      <c r="H33" s="11">
        <v>300</v>
      </c>
      <c r="J33" s="11">
        <v>2000</v>
      </c>
      <c r="K33" s="11">
        <v>300</v>
      </c>
      <c r="L33" s="11">
        <v>300</v>
      </c>
      <c r="M33" s="11">
        <v>-300</v>
      </c>
    </row>
    <row r="34" spans="1:13" ht="30">
      <c r="A34" s="11" t="s">
        <v>549</v>
      </c>
      <c r="B34" s="11" t="s">
        <v>218</v>
      </c>
      <c r="C34" s="11" t="s">
        <v>550</v>
      </c>
      <c r="E34" s="11">
        <v>100000</v>
      </c>
      <c r="F34" s="11">
        <v>600</v>
      </c>
      <c r="G34" s="11">
        <v>600</v>
      </c>
      <c r="H34" s="11">
        <v>1000</v>
      </c>
      <c r="J34" s="11">
        <v>-10000</v>
      </c>
      <c r="K34" s="11">
        <v>-200</v>
      </c>
      <c r="L34" s="11">
        <v>-400</v>
      </c>
      <c r="M34" s="11">
        <v>-500</v>
      </c>
    </row>
    <row r="35" spans="1:13" ht="30">
      <c r="A35" s="11" t="s">
        <v>551</v>
      </c>
      <c r="B35" s="1" t="s">
        <v>365</v>
      </c>
      <c r="C35" s="11" t="s">
        <v>552</v>
      </c>
      <c r="E35" s="11">
        <v>80000</v>
      </c>
      <c r="F35" s="11">
        <v>400</v>
      </c>
      <c r="G35" s="11">
        <v>400</v>
      </c>
      <c r="H35" s="11">
        <v>500</v>
      </c>
      <c r="J35" s="11">
        <v>-8000</v>
      </c>
      <c r="K35" s="11">
        <v>-200</v>
      </c>
      <c r="L35" s="11">
        <v>-300</v>
      </c>
      <c r="M35" s="11">
        <v>-400</v>
      </c>
    </row>
    <row r="36" spans="1:13" ht="30">
      <c r="A36" s="11" t="s">
        <v>553</v>
      </c>
      <c r="B36" s="11" t="s">
        <v>551</v>
      </c>
      <c r="C36" s="11" t="s">
        <v>554</v>
      </c>
      <c r="E36" s="11">
        <v>200000</v>
      </c>
      <c r="F36" s="11">
        <v>800</v>
      </c>
      <c r="G36" s="11">
        <v>800</v>
      </c>
      <c r="H36" s="11">
        <v>1000</v>
      </c>
      <c r="J36" s="11">
        <v>-20000</v>
      </c>
      <c r="K36" s="11">
        <v>-400</v>
      </c>
      <c r="L36" s="11">
        <v>-600</v>
      </c>
      <c r="M36" s="11">
        <v>-800</v>
      </c>
    </row>
    <row r="37" spans="1:13" ht="30">
      <c r="A37" s="11" t="s">
        <v>372</v>
      </c>
      <c r="B37" s="11" t="s">
        <v>553</v>
      </c>
      <c r="C37" s="11" t="s">
        <v>555</v>
      </c>
      <c r="E37" s="11">
        <v>500000</v>
      </c>
      <c r="F37" s="11">
        <v>1600</v>
      </c>
      <c r="G37" s="11">
        <v>1600</v>
      </c>
      <c r="H37" s="11">
        <v>2000</v>
      </c>
      <c r="J37" s="11">
        <v>-40000</v>
      </c>
      <c r="K37" s="11">
        <v>-800</v>
      </c>
      <c r="L37" s="11">
        <v>-1200</v>
      </c>
      <c r="M37" s="11">
        <v>-1000</v>
      </c>
    </row>
    <row r="38" spans="1:13" ht="30">
      <c r="A38" s="11" t="s">
        <v>230</v>
      </c>
      <c r="B38" s="5" t="s">
        <v>240</v>
      </c>
      <c r="C38" s="11" t="s">
        <v>556</v>
      </c>
      <c r="D38" s="11" t="s">
        <v>557</v>
      </c>
      <c r="E38" s="11">
        <v>20000</v>
      </c>
      <c r="F38" s="11">
        <v>300</v>
      </c>
      <c r="G38" s="11">
        <v>300</v>
      </c>
      <c r="H38" s="11">
        <v>300</v>
      </c>
      <c r="J38" s="11">
        <v>5000</v>
      </c>
      <c r="K38" s="11">
        <v>-300</v>
      </c>
      <c r="L38" s="11">
        <v>-200</v>
      </c>
      <c r="M38" s="11">
        <v>-100</v>
      </c>
    </row>
    <row r="39" spans="1:13" ht="45">
      <c r="A39" s="11" t="s">
        <v>231</v>
      </c>
      <c r="B39" s="5" t="s">
        <v>242</v>
      </c>
      <c r="C39" s="11" t="s">
        <v>558</v>
      </c>
      <c r="D39" s="11" t="s">
        <v>559</v>
      </c>
      <c r="E39" s="11">
        <v>30000</v>
      </c>
      <c r="F39" s="11">
        <v>400</v>
      </c>
      <c r="G39" s="11">
        <v>400</v>
      </c>
      <c r="H39" s="11">
        <v>400</v>
      </c>
      <c r="J39" s="11">
        <v>7500</v>
      </c>
      <c r="K39" s="11">
        <v>-400</v>
      </c>
      <c r="L39" s="11">
        <v>-300</v>
      </c>
      <c r="M39" s="11">
        <v>-150</v>
      </c>
    </row>
    <row r="40" spans="1:13" ht="30">
      <c r="A40" s="11" t="s">
        <v>232</v>
      </c>
      <c r="B40" s="5" t="s">
        <v>244</v>
      </c>
      <c r="C40" s="11" t="s">
        <v>560</v>
      </c>
      <c r="D40" s="11" t="s">
        <v>561</v>
      </c>
      <c r="E40" s="11">
        <v>45000</v>
      </c>
      <c r="F40" s="11">
        <v>600</v>
      </c>
      <c r="G40" s="11">
        <v>600</v>
      </c>
      <c r="H40" s="11">
        <v>600</v>
      </c>
      <c r="J40" s="11">
        <v>10000</v>
      </c>
      <c r="K40" s="11">
        <v>-500</v>
      </c>
      <c r="L40" s="11">
        <v>-400</v>
      </c>
      <c r="M40" s="11">
        <v>-200</v>
      </c>
    </row>
    <row r="41" spans="1:13" ht="30">
      <c r="A41" s="11" t="s">
        <v>235</v>
      </c>
      <c r="B41" s="5" t="s">
        <v>246</v>
      </c>
      <c r="C41" s="11" t="s">
        <v>562</v>
      </c>
      <c r="D41" s="11" t="s">
        <v>563</v>
      </c>
      <c r="E41" s="11">
        <v>50000</v>
      </c>
      <c r="F41" s="11">
        <v>300</v>
      </c>
      <c r="G41" s="11">
        <v>300</v>
      </c>
      <c r="H41" s="11">
        <v>300</v>
      </c>
      <c r="J41" s="11">
        <v>-2000</v>
      </c>
      <c r="K41" s="11">
        <v>-400</v>
      </c>
      <c r="L41" s="11">
        <v>-300</v>
      </c>
      <c r="M41" s="11">
        <v>-150</v>
      </c>
    </row>
    <row r="42" spans="1:13" ht="30">
      <c r="A42" s="11" t="s">
        <v>238</v>
      </c>
      <c r="B42" s="5" t="s">
        <v>246</v>
      </c>
      <c r="C42" s="11" t="s">
        <v>564</v>
      </c>
      <c r="D42" s="11" t="s">
        <v>565</v>
      </c>
      <c r="E42" s="11">
        <v>100000</v>
      </c>
      <c r="F42" s="11">
        <v>500</v>
      </c>
      <c r="G42" s="11">
        <v>500</v>
      </c>
      <c r="H42" s="11">
        <v>500</v>
      </c>
      <c r="J42" s="11">
        <v>-4000</v>
      </c>
      <c r="K42" s="11">
        <v>-500</v>
      </c>
      <c r="L42" s="11">
        <v>-400</v>
      </c>
      <c r="M42" s="11">
        <v>-200</v>
      </c>
    </row>
    <row r="43" spans="1:13" ht="30">
      <c r="A43" s="11" t="s">
        <v>239</v>
      </c>
      <c r="B43" s="5" t="s">
        <v>246</v>
      </c>
      <c r="C43" s="11" t="s">
        <v>566</v>
      </c>
      <c r="D43" s="11" t="s">
        <v>567</v>
      </c>
      <c r="E43" s="11">
        <v>120000</v>
      </c>
      <c r="F43" s="11">
        <v>700</v>
      </c>
      <c r="G43" s="11">
        <v>700</v>
      </c>
      <c r="H43" s="11">
        <v>700</v>
      </c>
      <c r="J43" s="11">
        <v>-6000</v>
      </c>
      <c r="K43" s="11">
        <v>-500</v>
      </c>
      <c r="L43" s="11">
        <v>-500</v>
      </c>
      <c r="M43" s="11">
        <v>-250</v>
      </c>
    </row>
    <row r="44" spans="1:13">
      <c r="B44" s="5"/>
    </row>
    <row r="45" spans="1:13" ht="45">
      <c r="A45" s="5" t="s">
        <v>568</v>
      </c>
      <c r="B45" s="11" t="s">
        <v>254</v>
      </c>
      <c r="C45" s="11" t="s">
        <v>569</v>
      </c>
      <c r="D45" s="11" t="s">
        <v>570</v>
      </c>
      <c r="E45" s="11">
        <v>15000</v>
      </c>
      <c r="F45" s="11">
        <v>300</v>
      </c>
      <c r="G45" s="11">
        <v>300</v>
      </c>
      <c r="H45" s="11">
        <v>100</v>
      </c>
      <c r="J45" s="11">
        <v>1000</v>
      </c>
      <c r="K45" s="11">
        <v>-200</v>
      </c>
      <c r="L45" s="11">
        <v>-200</v>
      </c>
      <c r="M45" s="11">
        <v>100</v>
      </c>
    </row>
    <row r="46" spans="1:13" ht="30">
      <c r="A46" s="5" t="s">
        <v>571</v>
      </c>
      <c r="B46" s="11" t="s">
        <v>259</v>
      </c>
      <c r="C46" s="11" t="s">
        <v>572</v>
      </c>
      <c r="D46" s="11" t="s">
        <v>573</v>
      </c>
      <c r="E46" s="11">
        <v>15000</v>
      </c>
      <c r="F46" s="11">
        <v>200</v>
      </c>
      <c r="G46" s="11">
        <v>200</v>
      </c>
      <c r="H46" s="11">
        <v>100</v>
      </c>
      <c r="J46" s="11">
        <v>1000</v>
      </c>
      <c r="K46" s="11">
        <v>-100</v>
      </c>
      <c r="L46" s="11">
        <v>-200</v>
      </c>
      <c r="M46" s="11">
        <v>100</v>
      </c>
    </row>
    <row r="47" spans="1:13" ht="30">
      <c r="A47" s="5" t="s">
        <v>574</v>
      </c>
      <c r="B47" s="5" t="s">
        <v>264</v>
      </c>
      <c r="C47" s="11" t="s">
        <v>575</v>
      </c>
      <c r="D47" s="11" t="s">
        <v>576</v>
      </c>
      <c r="E47" s="11">
        <v>10000</v>
      </c>
      <c r="F47" s="11">
        <v>300</v>
      </c>
      <c r="G47" s="11">
        <v>200</v>
      </c>
      <c r="H47" s="11">
        <v>200</v>
      </c>
      <c r="J47" s="11">
        <v>2000</v>
      </c>
      <c r="K47" s="11">
        <v>0</v>
      </c>
      <c r="L47" s="11">
        <v>-200</v>
      </c>
      <c r="M47" s="11">
        <v>-100</v>
      </c>
    </row>
    <row r="48" spans="1:13" ht="60">
      <c r="A48" s="5" t="s">
        <v>577</v>
      </c>
      <c r="B48" s="5" t="s">
        <v>255</v>
      </c>
      <c r="C48" s="11" t="s">
        <v>578</v>
      </c>
      <c r="D48" s="11" t="s">
        <v>579</v>
      </c>
      <c r="E48" s="11">
        <v>25000</v>
      </c>
      <c r="F48" s="11">
        <v>400</v>
      </c>
      <c r="G48" s="11">
        <v>400</v>
      </c>
      <c r="H48" s="11">
        <v>200</v>
      </c>
      <c r="J48" s="11">
        <v>2000</v>
      </c>
      <c r="K48" s="11">
        <v>-400</v>
      </c>
      <c r="L48" s="11">
        <v>-300</v>
      </c>
      <c r="M48" s="11">
        <v>-150</v>
      </c>
    </row>
    <row r="49" spans="1:13" ht="30">
      <c r="A49" s="5" t="s">
        <v>580</v>
      </c>
      <c r="B49" s="5" t="s">
        <v>260</v>
      </c>
      <c r="C49" s="11" t="s">
        <v>581</v>
      </c>
      <c r="D49" s="11" t="s">
        <v>582</v>
      </c>
      <c r="E49" s="11">
        <v>25000</v>
      </c>
      <c r="F49" s="11">
        <v>300</v>
      </c>
      <c r="G49" s="11">
        <v>300</v>
      </c>
      <c r="H49" s="11">
        <v>200</v>
      </c>
      <c r="J49" s="11">
        <v>2000</v>
      </c>
      <c r="K49" s="11">
        <v>-200</v>
      </c>
      <c r="L49" s="11">
        <v>-300</v>
      </c>
      <c r="M49" s="11">
        <v>-150</v>
      </c>
    </row>
    <row r="50" spans="1:13" ht="30">
      <c r="A50" s="5" t="s">
        <v>583</v>
      </c>
      <c r="B50" s="11" t="s">
        <v>265</v>
      </c>
      <c r="C50" s="11" t="s">
        <v>584</v>
      </c>
      <c r="D50" s="11" t="s">
        <v>585</v>
      </c>
      <c r="E50" s="11">
        <v>20000</v>
      </c>
      <c r="F50" s="11">
        <v>400</v>
      </c>
      <c r="G50" s="11">
        <v>300</v>
      </c>
      <c r="H50" s="11">
        <v>300</v>
      </c>
      <c r="J50" s="11">
        <v>5000</v>
      </c>
      <c r="K50" s="11">
        <v>0</v>
      </c>
      <c r="L50" s="11">
        <v>-300</v>
      </c>
      <c r="M50" s="11">
        <v>-100</v>
      </c>
    </row>
    <row r="51" spans="1:13" ht="60">
      <c r="A51" s="5" t="s">
        <v>586</v>
      </c>
      <c r="B51" s="5" t="s">
        <v>256</v>
      </c>
      <c r="C51" s="11" t="s">
        <v>587</v>
      </c>
      <c r="D51" s="11" t="s">
        <v>588</v>
      </c>
      <c r="E51" s="11">
        <v>50000</v>
      </c>
      <c r="F51" s="11">
        <v>600</v>
      </c>
      <c r="G51" s="11">
        <v>600</v>
      </c>
      <c r="H51" s="11">
        <v>400</v>
      </c>
      <c r="J51" s="11">
        <v>5000</v>
      </c>
      <c r="K51" s="11">
        <v>-500</v>
      </c>
      <c r="L51" s="11">
        <v>-400</v>
      </c>
      <c r="M51" s="11">
        <v>-200</v>
      </c>
    </row>
    <row r="52" spans="1:13" ht="30">
      <c r="A52" s="5" t="s">
        <v>589</v>
      </c>
      <c r="B52" s="5" t="s">
        <v>261</v>
      </c>
      <c r="C52" s="11" t="s">
        <v>590</v>
      </c>
      <c r="D52" s="11" t="s">
        <v>591</v>
      </c>
      <c r="E52" s="11">
        <v>50000</v>
      </c>
      <c r="F52" s="11">
        <v>400</v>
      </c>
      <c r="G52" s="11">
        <v>400</v>
      </c>
      <c r="H52" s="11">
        <v>300</v>
      </c>
      <c r="J52" s="11">
        <v>5000</v>
      </c>
      <c r="K52" s="11">
        <v>-250</v>
      </c>
      <c r="L52" s="11">
        <v>-350</v>
      </c>
      <c r="M52" s="11">
        <v>-200</v>
      </c>
    </row>
    <row r="53" spans="1:13" ht="60">
      <c r="A53" s="5" t="s">
        <v>592</v>
      </c>
      <c r="B53" s="5" t="s">
        <v>266</v>
      </c>
      <c r="C53" s="11" t="s">
        <v>593</v>
      </c>
      <c r="D53" s="11" t="s">
        <v>594</v>
      </c>
      <c r="E53" s="11">
        <v>30000</v>
      </c>
      <c r="F53" s="11">
        <v>500</v>
      </c>
      <c r="G53" s="11">
        <v>400</v>
      </c>
      <c r="H53" s="11">
        <v>400</v>
      </c>
      <c r="J53" s="11">
        <v>10000</v>
      </c>
      <c r="K53" s="11">
        <v>0</v>
      </c>
      <c r="L53" s="11">
        <v>-400</v>
      </c>
      <c r="M53" s="11">
        <v>-100</v>
      </c>
    </row>
    <row r="54" spans="1:13" ht="45">
      <c r="A54" s="5" t="s">
        <v>595</v>
      </c>
      <c r="B54" s="5" t="s">
        <v>262</v>
      </c>
      <c r="C54" s="11" t="s">
        <v>596</v>
      </c>
      <c r="D54" s="11" t="s">
        <v>597</v>
      </c>
      <c r="E54" s="11">
        <v>1000000</v>
      </c>
      <c r="F54" s="11">
        <v>2500</v>
      </c>
      <c r="G54" s="11">
        <v>2500</v>
      </c>
      <c r="H54" s="11">
        <v>5000</v>
      </c>
      <c r="J54" s="11">
        <v>-50000</v>
      </c>
      <c r="K54" s="11">
        <v>0</v>
      </c>
      <c r="L54" s="11">
        <v>-1000</v>
      </c>
      <c r="M54" s="11">
        <v>-100</v>
      </c>
    </row>
    <row r="55" spans="1:13" ht="45">
      <c r="A55" s="5" t="s">
        <v>263</v>
      </c>
      <c r="B55" s="5" t="s">
        <v>598</v>
      </c>
      <c r="C55" s="11" t="s">
        <v>599</v>
      </c>
      <c r="D55" s="11" t="s">
        <v>600</v>
      </c>
      <c r="E55" s="11">
        <v>1000000</v>
      </c>
      <c r="F55" s="11">
        <v>200</v>
      </c>
      <c r="G55" s="11">
        <v>400</v>
      </c>
      <c r="H55" s="11">
        <v>400</v>
      </c>
      <c r="J55" s="11">
        <v>-5000</v>
      </c>
      <c r="K55" s="11">
        <v>0</v>
      </c>
      <c r="L55" s="11">
        <v>-100</v>
      </c>
      <c r="M55" s="11">
        <v>-50</v>
      </c>
    </row>
    <row r="56" spans="1:13" ht="75">
      <c r="A56" s="5" t="s">
        <v>601</v>
      </c>
      <c r="B56" s="5" t="s">
        <v>602</v>
      </c>
      <c r="C56" s="11" t="s">
        <v>603</v>
      </c>
      <c r="D56" s="11" t="s">
        <v>604</v>
      </c>
      <c r="E56" s="11">
        <v>10000</v>
      </c>
      <c r="F56" s="11">
        <v>100</v>
      </c>
      <c r="G56" s="11">
        <v>100</v>
      </c>
      <c r="H56" s="11">
        <v>100</v>
      </c>
      <c r="J56" s="11">
        <v>0</v>
      </c>
      <c r="K56" s="11">
        <v>0</v>
      </c>
      <c r="L56" s="11">
        <v>-50</v>
      </c>
      <c r="M56" s="11">
        <v>0</v>
      </c>
    </row>
    <row r="57" spans="1:13" ht="45">
      <c r="A57" s="5" t="s">
        <v>605</v>
      </c>
      <c r="B57" s="5" t="s">
        <v>283</v>
      </c>
      <c r="C57" s="11" t="s">
        <v>606</v>
      </c>
      <c r="D57" s="11" t="s">
        <v>607</v>
      </c>
      <c r="E57" s="11">
        <v>10000</v>
      </c>
      <c r="F57" s="11">
        <v>300</v>
      </c>
      <c r="G57" s="11">
        <v>300</v>
      </c>
      <c r="H57" s="11">
        <v>200</v>
      </c>
      <c r="J57" s="11">
        <v>2500</v>
      </c>
      <c r="K57" s="11">
        <v>-200</v>
      </c>
      <c r="L57" s="11">
        <v>-200</v>
      </c>
      <c r="M57" s="11">
        <v>-200</v>
      </c>
    </row>
    <row r="58" spans="1:13" ht="45">
      <c r="A58" s="5" t="s">
        <v>608</v>
      </c>
      <c r="B58" s="5" t="s">
        <v>293</v>
      </c>
      <c r="C58" s="11" t="s">
        <v>609</v>
      </c>
      <c r="D58" s="11" t="s">
        <v>610</v>
      </c>
      <c r="E58" s="11">
        <v>20000</v>
      </c>
      <c r="F58" s="11">
        <v>600</v>
      </c>
      <c r="G58" s="11">
        <v>600</v>
      </c>
      <c r="H58" s="11">
        <v>400</v>
      </c>
      <c r="J58" s="11">
        <v>5000</v>
      </c>
      <c r="K58" s="11">
        <v>-400</v>
      </c>
      <c r="L58" s="11">
        <v>-400</v>
      </c>
      <c r="M58" s="11">
        <v>-300</v>
      </c>
    </row>
    <row r="59" spans="1:13" ht="45">
      <c r="A59" s="5" t="s">
        <v>611</v>
      </c>
      <c r="B59" s="5" t="s">
        <v>295</v>
      </c>
      <c r="C59" s="11" t="s">
        <v>612</v>
      </c>
      <c r="D59" s="11" t="s">
        <v>613</v>
      </c>
      <c r="E59" s="11">
        <v>40000</v>
      </c>
      <c r="F59" s="11">
        <v>1200</v>
      </c>
      <c r="G59" s="11">
        <v>1200</v>
      </c>
      <c r="H59" s="11">
        <v>800</v>
      </c>
      <c r="J59" s="11">
        <v>10000</v>
      </c>
      <c r="K59" s="11">
        <v>-800</v>
      </c>
      <c r="L59" s="11">
        <v>-800</v>
      </c>
      <c r="M59" s="11">
        <v>-400</v>
      </c>
    </row>
    <row r="60" spans="1:13" ht="45.75">
      <c r="A60" s="5" t="s">
        <v>614</v>
      </c>
      <c r="B60" s="5" t="s">
        <v>303</v>
      </c>
      <c r="C60" s="11" t="s">
        <v>615</v>
      </c>
      <c r="D60" s="11" t="s">
        <v>616</v>
      </c>
      <c r="E60" s="11">
        <v>10000</v>
      </c>
      <c r="F60" s="11">
        <v>400</v>
      </c>
      <c r="G60" s="11">
        <v>400</v>
      </c>
      <c r="H60" s="11">
        <v>300</v>
      </c>
      <c r="J60" s="11">
        <v>-1000</v>
      </c>
      <c r="K60" s="11">
        <v>-300</v>
      </c>
      <c r="L60" s="11">
        <v>-300</v>
      </c>
      <c r="M60" s="11">
        <v>-200</v>
      </c>
    </row>
    <row r="61" spans="1:13" ht="45.75">
      <c r="A61" s="5" t="s">
        <v>617</v>
      </c>
      <c r="B61" s="5" t="s">
        <v>326</v>
      </c>
      <c r="C61" s="11" t="s">
        <v>618</v>
      </c>
      <c r="D61" s="11" t="s">
        <v>619</v>
      </c>
      <c r="E61" s="11">
        <v>20000</v>
      </c>
      <c r="F61" s="11">
        <v>600</v>
      </c>
      <c r="G61" s="11">
        <v>600</v>
      </c>
      <c r="H61" s="11">
        <v>400</v>
      </c>
      <c r="J61" s="11">
        <v>-2000</v>
      </c>
      <c r="K61" s="11">
        <v>-400</v>
      </c>
      <c r="L61" s="11">
        <v>-400</v>
      </c>
      <c r="M61" s="11">
        <v>-300</v>
      </c>
    </row>
    <row r="62" spans="1:13" ht="45.75">
      <c r="A62" s="5" t="s">
        <v>620</v>
      </c>
      <c r="B62" s="5" t="s">
        <v>323</v>
      </c>
      <c r="C62" s="11" t="s">
        <v>621</v>
      </c>
      <c r="D62" s="11" t="s">
        <v>622</v>
      </c>
      <c r="E62" s="11">
        <v>30000</v>
      </c>
      <c r="F62" s="11">
        <v>800</v>
      </c>
      <c r="G62" s="11">
        <v>800</v>
      </c>
      <c r="H62" s="11">
        <v>500</v>
      </c>
      <c r="J62" s="11">
        <v>-3000</v>
      </c>
      <c r="K62" s="11">
        <v>-500</v>
      </c>
      <c r="L62" s="11">
        <v>-500</v>
      </c>
      <c r="M62" s="11">
        <v>-500</v>
      </c>
    </row>
    <row r="63" spans="1:13" ht="30">
      <c r="A63" s="5" t="s">
        <v>623</v>
      </c>
      <c r="B63" s="5" t="s">
        <v>305</v>
      </c>
      <c r="C63" s="11" t="s">
        <v>624</v>
      </c>
      <c r="D63" s="11" t="s">
        <v>625</v>
      </c>
      <c r="E63" s="11">
        <v>40000</v>
      </c>
      <c r="F63" s="11">
        <v>400</v>
      </c>
      <c r="G63" s="11">
        <v>400</v>
      </c>
      <c r="H63" s="11">
        <v>400</v>
      </c>
      <c r="J63" s="11">
        <v>-4000</v>
      </c>
      <c r="K63" s="11">
        <v>-600</v>
      </c>
      <c r="L63" s="11">
        <v>-600</v>
      </c>
      <c r="M63" s="11">
        <v>-600</v>
      </c>
    </row>
    <row r="64" spans="1:13" ht="30">
      <c r="A64" s="5" t="s">
        <v>626</v>
      </c>
      <c r="B64" s="5" t="s">
        <v>329</v>
      </c>
      <c r="C64" s="11" t="s">
        <v>627</v>
      </c>
      <c r="D64" s="11" t="s">
        <v>628</v>
      </c>
      <c r="E64" s="11">
        <v>80000</v>
      </c>
      <c r="F64" s="11">
        <v>800</v>
      </c>
      <c r="G64" s="11">
        <v>800</v>
      </c>
      <c r="H64" s="11">
        <v>800</v>
      </c>
      <c r="J64" s="11">
        <v>-5000</v>
      </c>
      <c r="K64" s="11">
        <v>-700</v>
      </c>
      <c r="L64" s="11">
        <v>-700</v>
      </c>
      <c r="M64" s="11">
        <v>-700</v>
      </c>
    </row>
    <row r="65" spans="1:13" ht="30">
      <c r="A65" s="5" t="s">
        <v>629</v>
      </c>
      <c r="B65" s="5" t="s">
        <v>333</v>
      </c>
      <c r="C65" s="11" t="s">
        <v>630</v>
      </c>
      <c r="D65" s="11" t="s">
        <v>631</v>
      </c>
      <c r="E65" s="11">
        <v>120000</v>
      </c>
      <c r="F65" s="11">
        <v>1200</v>
      </c>
      <c r="G65" s="11">
        <v>1200</v>
      </c>
      <c r="H65" s="11">
        <v>1200</v>
      </c>
      <c r="J65" s="11">
        <v>-6000</v>
      </c>
      <c r="K65" s="11">
        <v>-800</v>
      </c>
      <c r="L65" s="11">
        <v>-800</v>
      </c>
      <c r="M65" s="11">
        <v>-800</v>
      </c>
    </row>
    <row r="66" spans="1:13" ht="75">
      <c r="A66" s="5" t="s">
        <v>632</v>
      </c>
      <c r="B66" s="5" t="s">
        <v>334</v>
      </c>
      <c r="C66" s="11" t="s">
        <v>633</v>
      </c>
      <c r="D66" s="11" t="s">
        <v>634</v>
      </c>
      <c r="E66" s="11">
        <v>200000</v>
      </c>
      <c r="F66" s="11">
        <v>1500</v>
      </c>
      <c r="G66" s="11">
        <v>1500</v>
      </c>
      <c r="H66" s="11">
        <v>1500</v>
      </c>
      <c r="J66" s="11">
        <v>-10000</v>
      </c>
      <c r="K66" s="11">
        <v>-1000</v>
      </c>
      <c r="L66" s="11">
        <v>-1000</v>
      </c>
      <c r="M66" s="11">
        <v>-1000</v>
      </c>
    </row>
    <row r="67" spans="1:13" ht="30">
      <c r="A67" s="5" t="s">
        <v>635</v>
      </c>
      <c r="B67" s="11" t="s">
        <v>72</v>
      </c>
      <c r="C67" s="11" t="s">
        <v>636</v>
      </c>
      <c r="D67" s="11" t="s">
        <v>637</v>
      </c>
      <c r="E67" s="11">
        <v>20000</v>
      </c>
      <c r="F67" s="11">
        <v>1000</v>
      </c>
      <c r="G67" s="11">
        <v>1000</v>
      </c>
      <c r="H67" s="11">
        <v>500</v>
      </c>
      <c r="J67" s="11">
        <v>-1000</v>
      </c>
      <c r="K67" s="11">
        <v>-100</v>
      </c>
      <c r="L67" s="11">
        <v>-200</v>
      </c>
      <c r="M67" s="11">
        <v>-50</v>
      </c>
    </row>
    <row r="68" spans="1:13" ht="45">
      <c r="A68" s="5" t="s">
        <v>638</v>
      </c>
      <c r="B68" s="11" t="s">
        <v>639</v>
      </c>
      <c r="C68" s="11" t="s">
        <v>640</v>
      </c>
      <c r="D68" s="11" t="s">
        <v>641</v>
      </c>
      <c r="E68" s="11">
        <v>0</v>
      </c>
      <c r="F68" s="11">
        <v>0</v>
      </c>
      <c r="G68" s="11">
        <v>0</v>
      </c>
      <c r="H68" s="11">
        <v>0</v>
      </c>
      <c r="J68" s="11">
        <v>0</v>
      </c>
      <c r="K68" s="11">
        <v>30</v>
      </c>
      <c r="L68" s="11">
        <v>-10</v>
      </c>
      <c r="M68" s="11">
        <v>-10</v>
      </c>
    </row>
    <row r="69" spans="1:13" ht="30">
      <c r="A69" s="5" t="s">
        <v>642</v>
      </c>
      <c r="B69" s="5" t="s">
        <v>177</v>
      </c>
      <c r="C69" s="11" t="s">
        <v>643</v>
      </c>
      <c r="D69" s="11" t="s">
        <v>607</v>
      </c>
      <c r="E69" s="11">
        <v>10000</v>
      </c>
      <c r="F69" s="11">
        <v>300</v>
      </c>
      <c r="G69" s="11">
        <v>300</v>
      </c>
      <c r="H69" s="11">
        <v>200</v>
      </c>
      <c r="J69" s="11">
        <v>2500</v>
      </c>
      <c r="K69" s="11">
        <v>-200</v>
      </c>
      <c r="L69" s="11">
        <v>-200</v>
      </c>
      <c r="M69" s="11">
        <v>-200</v>
      </c>
    </row>
    <row r="70" spans="1:13" ht="30">
      <c r="A70" s="5" t="s">
        <v>644</v>
      </c>
      <c r="B70" s="5" t="s">
        <v>177</v>
      </c>
      <c r="C70" s="11" t="s">
        <v>645</v>
      </c>
      <c r="D70" s="11" t="s">
        <v>610</v>
      </c>
      <c r="E70" s="11">
        <v>20000</v>
      </c>
      <c r="F70" s="11">
        <v>600</v>
      </c>
      <c r="G70" s="11">
        <v>600</v>
      </c>
      <c r="H70" s="11">
        <v>400</v>
      </c>
      <c r="J70" s="11">
        <v>5000</v>
      </c>
      <c r="K70" s="11">
        <v>-400</v>
      </c>
      <c r="L70" s="11">
        <v>-400</v>
      </c>
      <c r="M70" s="11">
        <v>-300</v>
      </c>
    </row>
    <row r="71" spans="1:13" ht="30">
      <c r="A71" s="5" t="s">
        <v>646</v>
      </c>
      <c r="B71" s="5" t="s">
        <v>177</v>
      </c>
      <c r="C71" s="11" t="s">
        <v>647</v>
      </c>
      <c r="D71" s="11" t="s">
        <v>613</v>
      </c>
      <c r="E71" s="11">
        <v>40000</v>
      </c>
      <c r="F71" s="11">
        <v>1200</v>
      </c>
      <c r="G71" s="11">
        <v>1200</v>
      </c>
      <c r="H71" s="11">
        <v>800</v>
      </c>
      <c r="J71" s="11">
        <v>10000</v>
      </c>
      <c r="K71" s="11">
        <v>-800</v>
      </c>
      <c r="L71" s="11">
        <v>-800</v>
      </c>
      <c r="M71" s="11">
        <v>-400</v>
      </c>
    </row>
    <row r="72" spans="1:13">
      <c r="A72" s="5"/>
      <c r="B72" s="5"/>
    </row>
    <row r="73" spans="1:13">
      <c r="A73" s="5"/>
      <c r="B73" s="5"/>
    </row>
    <row r="74" spans="1:13" ht="45.75">
      <c r="A74" s="5" t="s">
        <v>648</v>
      </c>
      <c r="B74" s="5"/>
      <c r="C74" s="11" t="s">
        <v>649</v>
      </c>
      <c r="D74" s="11" t="s">
        <v>650</v>
      </c>
      <c r="J74" s="11">
        <v>0</v>
      </c>
      <c r="K74" s="11">
        <v>5</v>
      </c>
      <c r="L74" s="11">
        <v>-1</v>
      </c>
      <c r="M74" s="11">
        <v>-1</v>
      </c>
    </row>
    <row r="75" spans="1:13" ht="45.75">
      <c r="A75" s="5" t="s">
        <v>651</v>
      </c>
      <c r="B75" s="5"/>
      <c r="C75" s="11" t="s">
        <v>649</v>
      </c>
      <c r="D75" s="11" t="s">
        <v>650</v>
      </c>
      <c r="J75" s="11">
        <v>0</v>
      </c>
      <c r="K75" s="11">
        <v>15</v>
      </c>
      <c r="L75" s="11">
        <v>-5</v>
      </c>
      <c r="M75" s="11">
        <v>-5</v>
      </c>
    </row>
    <row r="76" spans="1:13" ht="45.75">
      <c r="A76" s="5" t="s">
        <v>652</v>
      </c>
      <c r="B76" s="5" t="s">
        <v>653</v>
      </c>
      <c r="C76" s="11" t="s">
        <v>649</v>
      </c>
      <c r="D76" s="11" t="s">
        <v>650</v>
      </c>
      <c r="J76" s="11">
        <v>0</v>
      </c>
      <c r="K76" s="11">
        <v>30</v>
      </c>
      <c r="L76" s="11">
        <v>-10</v>
      </c>
      <c r="M76" s="11">
        <v>-10</v>
      </c>
    </row>
    <row r="77" spans="1:13" ht="45.75">
      <c r="A77" s="5" t="s">
        <v>654</v>
      </c>
      <c r="B77" s="5"/>
      <c r="C77" s="11" t="s">
        <v>649</v>
      </c>
      <c r="D77" s="11" t="s">
        <v>650</v>
      </c>
      <c r="J77" s="11">
        <v>0</v>
      </c>
      <c r="K77" s="11">
        <v>150</v>
      </c>
      <c r="L77" s="11">
        <v>-50</v>
      </c>
      <c r="M77" s="11">
        <v>-50</v>
      </c>
    </row>
    <row r="78" spans="1:13">
      <c r="A78" s="5"/>
      <c r="B78" s="5"/>
    </row>
    <row r="79" spans="1:13" ht="30.75">
      <c r="A79" s="5" t="s">
        <v>655</v>
      </c>
      <c r="B79" s="11" t="s">
        <v>385</v>
      </c>
      <c r="C79" s="11" t="s">
        <v>656</v>
      </c>
      <c r="D79" s="11" t="s">
        <v>657</v>
      </c>
      <c r="E79" s="11">
        <v>75000</v>
      </c>
      <c r="F79" s="11">
        <v>1500</v>
      </c>
      <c r="G79" s="11">
        <v>2000</v>
      </c>
      <c r="H79" s="11">
        <v>1200</v>
      </c>
      <c r="J79" s="11">
        <v>5000</v>
      </c>
      <c r="K79" s="11">
        <v>-10</v>
      </c>
      <c r="L79" s="11">
        <v>0</v>
      </c>
      <c r="M79" s="11">
        <v>-50</v>
      </c>
    </row>
    <row r="82" spans="4:13">
      <c r="D82" s="11" t="s">
        <v>658</v>
      </c>
      <c r="E82" s="11">
        <f t="shared" ref="E82:M82" si="0">SUM(E3:E81)</f>
        <v>7875000</v>
      </c>
      <c r="F82" s="11">
        <f t="shared" si="0"/>
        <v>57200</v>
      </c>
      <c r="G82" s="11">
        <f t="shared" si="0"/>
        <v>64900</v>
      </c>
      <c r="H82" s="11">
        <f t="shared" si="0"/>
        <v>49400</v>
      </c>
      <c r="I82" s="11">
        <f t="shared" si="0"/>
        <v>0</v>
      </c>
      <c r="J82" s="11">
        <f t="shared" si="0"/>
        <v>-81000</v>
      </c>
      <c r="K82" s="11">
        <f t="shared" si="0"/>
        <v>-11530</v>
      </c>
      <c r="L82" s="11">
        <f t="shared" si="0"/>
        <v>-16876</v>
      </c>
      <c r="M82" s="11">
        <f t="shared" si="0"/>
        <v>-8986</v>
      </c>
    </row>
  </sheetData>
  <mergeCells count="2">
    <mergeCell ref="E1:H1"/>
    <mergeCell ref="J1:M1"/>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0"/>
  <sheetViews>
    <sheetView topLeftCell="A4" workbookViewId="0">
      <selection activeCell="M18" sqref="M18"/>
    </sheetView>
  </sheetViews>
  <sheetFormatPr defaultRowHeight="15"/>
  <cols>
    <col min="1" max="16384" width="9.140625" style="4"/>
  </cols>
  <sheetData>
    <row r="1" spans="1:5">
      <c r="A1" s="3" t="s">
        <v>0</v>
      </c>
      <c r="B1" s="3" t="s">
        <v>1</v>
      </c>
      <c r="C1" s="3" t="s">
        <v>2</v>
      </c>
      <c r="D1" s="3" t="s">
        <v>3</v>
      </c>
      <c r="E1" s="3" t="s">
        <v>4</v>
      </c>
    </row>
    <row r="20" spans="1:9" ht="30">
      <c r="A20" s="3" t="s">
        <v>28</v>
      </c>
      <c r="B20" s="3" t="s">
        <v>29</v>
      </c>
      <c r="C20" s="3" t="s">
        <v>30</v>
      </c>
      <c r="D20" s="3" t="s">
        <v>31</v>
      </c>
      <c r="E20" s="3" t="s">
        <v>32</v>
      </c>
      <c r="F20" s="3" t="s">
        <v>33</v>
      </c>
      <c r="G20" s="3" t="s">
        <v>34</v>
      </c>
      <c r="H20" s="3" t="s">
        <v>35</v>
      </c>
      <c r="I20" s="3" t="s">
        <v>36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
  <sheetViews>
    <sheetView workbookViewId="0">
      <pane xSplit="1" ySplit="1" topLeftCell="C10" activePane="bottomRight" state="frozen"/>
      <selection pane="bottomRight" activeCell="C10" sqref="C10"/>
      <selection pane="bottomLeft" activeCell="A2" sqref="A2"/>
      <selection pane="topRight" activeCell="B1" sqref="B1"/>
    </sheetView>
  </sheetViews>
  <sheetFormatPr defaultRowHeight="15"/>
  <cols>
    <col min="1" max="1" width="14" style="1" bestFit="1" customWidth="1"/>
    <col min="2" max="2" width="20.140625" style="6" bestFit="1" customWidth="1"/>
    <col min="3" max="3" width="25.85546875" style="6" bestFit="1" customWidth="1"/>
    <col min="4" max="4" width="24.7109375" style="6" bestFit="1" customWidth="1"/>
    <col min="5" max="5" width="34.5703125" style="1" bestFit="1" customWidth="1"/>
    <col min="6" max="6" width="28.140625" style="1" bestFit="1" customWidth="1"/>
    <col min="7" max="7" width="20.140625" style="6" customWidth="1"/>
    <col min="8" max="8" width="20.85546875" style="6" bestFit="1" customWidth="1"/>
    <col min="9" max="9" width="20.85546875" style="6" customWidth="1"/>
    <col min="10" max="10" width="24.7109375" style="6" bestFit="1" customWidth="1"/>
    <col min="11" max="11" width="9.140625" style="1"/>
    <col min="12" max="12" width="17.42578125" style="6" bestFit="1" customWidth="1"/>
    <col min="13" max="14" width="9.140625" style="6"/>
    <col min="15" max="15" width="14.28515625" style="6" customWidth="1"/>
    <col min="16" max="16384" width="9.140625" style="1"/>
  </cols>
  <sheetData>
    <row r="1" spans="1:15" s="2" customFormat="1" ht="60">
      <c r="A1" s="2" t="s">
        <v>659</v>
      </c>
      <c r="B1" s="7" t="s">
        <v>660</v>
      </c>
      <c r="C1" s="7" t="s">
        <v>661</v>
      </c>
      <c r="D1" s="7" t="s">
        <v>662</v>
      </c>
      <c r="E1" s="2" t="s">
        <v>663</v>
      </c>
      <c r="F1" s="2" t="s">
        <v>664</v>
      </c>
      <c r="G1" s="7" t="s">
        <v>665</v>
      </c>
      <c r="H1" s="7" t="s">
        <v>666</v>
      </c>
      <c r="I1" s="7" t="s">
        <v>667</v>
      </c>
      <c r="J1" s="7" t="s">
        <v>668</v>
      </c>
      <c r="K1" s="2" t="s">
        <v>669</v>
      </c>
      <c r="L1" s="7" t="s">
        <v>670</v>
      </c>
      <c r="M1" s="7" t="s">
        <v>671</v>
      </c>
      <c r="N1" s="7" t="s">
        <v>672</v>
      </c>
      <c r="O1" s="7" t="s">
        <v>673</v>
      </c>
    </row>
    <row r="2" spans="1:15" ht="60">
      <c r="B2" s="6" t="s">
        <v>674</v>
      </c>
      <c r="C2" s="6" t="s">
        <v>5</v>
      </c>
      <c r="D2" s="6" t="s">
        <v>73</v>
      </c>
      <c r="E2" s="1" t="s">
        <v>675</v>
      </c>
      <c r="G2" s="6" t="s">
        <v>676</v>
      </c>
      <c r="I2" s="6" t="s">
        <v>167</v>
      </c>
      <c r="J2" s="6" t="s">
        <v>365</v>
      </c>
      <c r="L2" s="6" t="s">
        <v>201</v>
      </c>
      <c r="M2" s="6" t="s">
        <v>214</v>
      </c>
      <c r="N2" s="6" t="s">
        <v>677</v>
      </c>
      <c r="O2" s="6" t="s">
        <v>678</v>
      </c>
    </row>
    <row r="3" spans="1:15" ht="45">
      <c r="B3" s="6" t="s">
        <v>98</v>
      </c>
      <c r="C3" s="6" t="s">
        <v>6</v>
      </c>
      <c r="D3" s="6" t="s">
        <v>77</v>
      </c>
      <c r="E3" s="1" t="s">
        <v>679</v>
      </c>
      <c r="F3" s="1" t="s">
        <v>680</v>
      </c>
      <c r="G3" s="6" t="s">
        <v>512</v>
      </c>
      <c r="H3" s="6" t="s">
        <v>134</v>
      </c>
      <c r="I3" s="6" t="s">
        <v>169</v>
      </c>
      <c r="J3" s="6" t="s">
        <v>366</v>
      </c>
      <c r="L3" s="6" t="s">
        <v>204</v>
      </c>
      <c r="M3" s="6" t="s">
        <v>681</v>
      </c>
      <c r="N3" s="6" t="s">
        <v>682</v>
      </c>
    </row>
    <row r="4" spans="1:15" ht="60">
      <c r="B4" s="6" t="s">
        <v>683</v>
      </c>
      <c r="C4" s="6" t="s">
        <v>7</v>
      </c>
      <c r="D4" s="6" t="s">
        <v>72</v>
      </c>
      <c r="E4" s="1" t="s">
        <v>308</v>
      </c>
      <c r="F4" s="1" t="s">
        <v>684</v>
      </c>
      <c r="G4" s="6" t="s">
        <v>127</v>
      </c>
      <c r="H4" s="6" t="s">
        <v>135</v>
      </c>
      <c r="I4" s="6" t="s">
        <v>168</v>
      </c>
      <c r="J4" s="6" t="s">
        <v>367</v>
      </c>
      <c r="L4" s="6" t="s">
        <v>198</v>
      </c>
      <c r="M4" s="6" t="s">
        <v>218</v>
      </c>
      <c r="N4" s="6" t="s">
        <v>685</v>
      </c>
    </row>
    <row r="5" spans="1:15" ht="30">
      <c r="B5" s="6" t="s">
        <v>686</v>
      </c>
      <c r="C5" s="6" t="s">
        <v>11</v>
      </c>
      <c r="D5" s="6" t="s">
        <v>75</v>
      </c>
      <c r="F5" s="1" t="s">
        <v>687</v>
      </c>
      <c r="G5" s="6" t="s">
        <v>688</v>
      </c>
      <c r="H5" s="6" t="s">
        <v>136</v>
      </c>
      <c r="I5" s="6" t="s">
        <v>172</v>
      </c>
      <c r="L5" s="6" t="s">
        <v>202</v>
      </c>
      <c r="M5" s="6" t="s">
        <v>215</v>
      </c>
    </row>
    <row r="6" spans="1:15" ht="45">
      <c r="B6" s="6" t="s">
        <v>689</v>
      </c>
      <c r="C6" s="6" t="s">
        <v>8</v>
      </c>
      <c r="D6" s="6" t="s">
        <v>76</v>
      </c>
      <c r="E6" s="1" t="s">
        <v>304</v>
      </c>
      <c r="F6" s="1" t="s">
        <v>690</v>
      </c>
      <c r="G6" s="6" t="s">
        <v>691</v>
      </c>
      <c r="H6" s="6" t="s">
        <v>137</v>
      </c>
      <c r="I6" s="6" t="s">
        <v>173</v>
      </c>
      <c r="J6" s="6" t="s">
        <v>368</v>
      </c>
      <c r="M6" s="6" t="s">
        <v>216</v>
      </c>
    </row>
    <row r="7" spans="1:15" ht="45">
      <c r="B7" s="6" t="s">
        <v>97</v>
      </c>
      <c r="C7" s="6" t="s">
        <v>9</v>
      </c>
      <c r="D7" s="6" t="s">
        <v>74</v>
      </c>
      <c r="E7" s="1" t="s">
        <v>310</v>
      </c>
      <c r="G7" s="6" t="s">
        <v>692</v>
      </c>
      <c r="I7" s="6" t="s">
        <v>174</v>
      </c>
      <c r="J7" s="6" t="s">
        <v>369</v>
      </c>
      <c r="L7" s="6" t="s">
        <v>196</v>
      </c>
      <c r="M7" s="6" t="s">
        <v>217</v>
      </c>
    </row>
    <row r="8" spans="1:15" ht="30">
      <c r="B8" s="6" t="s">
        <v>95</v>
      </c>
      <c r="C8" s="6" t="s">
        <v>12</v>
      </c>
      <c r="D8" s="6" t="s">
        <v>78</v>
      </c>
      <c r="E8" s="1" t="s">
        <v>309</v>
      </c>
      <c r="G8" s="6" t="s">
        <v>121</v>
      </c>
      <c r="I8" s="6" t="s">
        <v>175</v>
      </c>
      <c r="L8" s="6" t="s">
        <v>197</v>
      </c>
    </row>
    <row r="9" spans="1:15" ht="30">
      <c r="C9" s="6" t="s">
        <v>693</v>
      </c>
      <c r="D9" s="6" t="s">
        <v>79</v>
      </c>
      <c r="E9" s="1" t="s">
        <v>315</v>
      </c>
      <c r="H9" s="6" t="s">
        <v>138</v>
      </c>
      <c r="I9" s="6" t="s">
        <v>176</v>
      </c>
      <c r="L9" s="6" t="s">
        <v>199</v>
      </c>
    </row>
    <row r="10" spans="1:15" ht="30">
      <c r="C10" s="6" t="s">
        <v>16</v>
      </c>
      <c r="E10" s="1" t="s">
        <v>306</v>
      </c>
      <c r="I10" s="6" t="s">
        <v>171</v>
      </c>
      <c r="L10" s="6" t="s">
        <v>200</v>
      </c>
    </row>
    <row r="11" spans="1:15">
      <c r="E11" s="1" t="s">
        <v>314</v>
      </c>
    </row>
    <row r="12" spans="1:15" ht="30">
      <c r="C12" s="6" t="s">
        <v>17</v>
      </c>
      <c r="E12" s="1" t="s">
        <v>311</v>
      </c>
      <c r="I12" s="6" t="s">
        <v>170</v>
      </c>
    </row>
    <row r="13" spans="1:15">
      <c r="C13" s="6" t="s">
        <v>51</v>
      </c>
      <c r="E13" s="1" t="s">
        <v>318</v>
      </c>
    </row>
    <row r="14" spans="1:15">
      <c r="C14" s="6" t="s">
        <v>14</v>
      </c>
      <c r="E14" s="1" t="s">
        <v>319</v>
      </c>
    </row>
    <row r="15" spans="1:15">
      <c r="C15" s="6" t="s">
        <v>25</v>
      </c>
      <c r="E15" s="1" t="s">
        <v>307</v>
      </c>
    </row>
    <row r="16" spans="1:15">
      <c r="C16" s="6" t="s">
        <v>20</v>
      </c>
      <c r="E16" s="1" t="s">
        <v>312</v>
      </c>
    </row>
    <row r="17" spans="3:5" ht="30">
      <c r="C17" s="6" t="s">
        <v>26</v>
      </c>
      <c r="E17" s="1" t="s">
        <v>316</v>
      </c>
    </row>
    <row r="18" spans="3:5" ht="30">
      <c r="C18" s="6" t="s">
        <v>27</v>
      </c>
      <c r="E18" s="1" t="s">
        <v>694</v>
      </c>
    </row>
    <row r="19" spans="3:5">
      <c r="E19" s="1" t="s">
        <v>320</v>
      </c>
    </row>
    <row r="20" spans="3:5">
      <c r="E20" s="1" t="s">
        <v>324</v>
      </c>
    </row>
    <row r="21" spans="3:5">
      <c r="E21" s="1" t="s">
        <v>317</v>
      </c>
    </row>
    <row r="22" spans="3:5">
      <c r="E22" s="1" t="s">
        <v>321</v>
      </c>
    </row>
    <row r="23" spans="3:5">
      <c r="E23" s="1" t="s">
        <v>695</v>
      </c>
    </row>
    <row r="24" spans="3:5">
      <c r="E24" s="1" t="s">
        <v>325</v>
      </c>
    </row>
    <row r="25" spans="3:5">
      <c r="E25" s="1" t="s">
        <v>328</v>
      </c>
    </row>
    <row r="26" spans="3:5">
      <c r="E26" s="1" t="s">
        <v>330</v>
      </c>
    </row>
    <row r="27" spans="3:5">
      <c r="E27" s="1" t="s">
        <v>696</v>
      </c>
    </row>
    <row r="29" spans="3:5">
      <c r="E29" s="1" t="s">
        <v>697</v>
      </c>
    </row>
    <row r="30" spans="3:5">
      <c r="E30" s="1" t="s">
        <v>698</v>
      </c>
    </row>
    <row r="31" spans="3:5">
      <c r="E31" s="1" t="s">
        <v>331</v>
      </c>
    </row>
    <row r="32" spans="3:5">
      <c r="E32" s="1" t="s">
        <v>332</v>
      </c>
    </row>
    <row r="35" spans="5:5">
      <c r="E35" s="1" t="s">
        <v>313</v>
      </c>
    </row>
    <row r="36" spans="5:5">
      <c r="E36" s="1" t="s">
        <v>322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Cambridge Assessment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Barrett-Payton</dc:creator>
  <cp:keywords/>
  <dc:description/>
  <cp:lastModifiedBy>James Barrett-Payton</cp:lastModifiedBy>
  <cp:revision/>
  <dcterms:created xsi:type="dcterms:W3CDTF">2020-10-28T08:43:24Z</dcterms:created>
  <dcterms:modified xsi:type="dcterms:W3CDTF">2025-04-18T00:11:36Z</dcterms:modified>
  <cp:category/>
  <cp:contentStatus/>
</cp:coreProperties>
</file>